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c85d8b144bbd9bf9/Desktop/da intership projects/Project1/"/>
    </mc:Choice>
  </mc:AlternateContent>
  <xr:revisionPtr revIDLastSave="356" documentId="8_{48CEB839-EAA2-4D1A-89D4-94D7D1CAA1B9}" xr6:coauthVersionLast="47" xr6:coauthVersionMax="47" xr10:uidLastSave="{B5E5D8D9-24A9-4BCB-8116-CF3971936AC1}"/>
  <bookViews>
    <workbookView xWindow="-108" yWindow="-108" windowWidth="23256" windowHeight="12456" xr2:uid="{00000000-000D-0000-FFFF-FFFF00000000}"/>
  </bookViews>
  <sheets>
    <sheet name="cleaned data" sheetId="1" r:id="rId1"/>
    <sheet name="Kpi Summary" sheetId="4" r:id="rId2"/>
    <sheet name="KPi Cards" sheetId="6" r:id="rId3"/>
    <sheet name="Dashboard" sheetId="7" r:id="rId4"/>
  </sheets>
  <definedNames>
    <definedName name="_xlnm._FilterDatabase" localSheetId="0" hidden="1">'cleaned data'!$A$1:$B$301</definedName>
    <definedName name="_xlcn.WorksheetConnection_Beginner_Sales_Data_CLEAN.xlsxSales_Data" hidden="1">Sales_Data[]</definedName>
    <definedName name="Slicer_Category">#N/A</definedName>
    <definedName name="Slicer_Region">#N/A</definedName>
    <definedName name="Slicer_Year">#N/A</definedName>
  </definedNames>
  <calcPr calcId="191029"/>
  <pivotCaches>
    <pivotCache cacheId="0" r:id="rId5"/>
    <pivotCache cacheId="1" r:id="rId6"/>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Beginner_Sales_Data_CLEAN.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D5E11E-B4EE-4762-8545-4683E7A82A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2C5FDE-99A4-45D3-976D-8030957B4055}" name="WorksheetConnection_Beginner_Sales_Data_CLEAN.xlsx!Sales_Data" type="102" refreshedVersion="8" minRefreshableVersion="5">
    <extLst>
      <ext xmlns:x15="http://schemas.microsoft.com/office/spreadsheetml/2010/11/main" uri="{DE250136-89BD-433C-8126-D09CA5730AF9}">
        <x15:connection id="Sales_Data" autoDelete="1">
          <x15:rangePr sourceName="_xlcn.WorksheetConnection_Beginner_Sales_Data_CLEAN.xlsxSales_Data"/>
        </x15:connection>
      </ext>
    </extLst>
  </connection>
</connections>
</file>

<file path=xl/sharedStrings.xml><?xml version="1.0" encoding="utf-8"?>
<sst xmlns="http://schemas.openxmlformats.org/spreadsheetml/2006/main" count="961" uniqueCount="45">
  <si>
    <t>Order_ID</t>
  </si>
  <si>
    <t>Order_Date</t>
  </si>
  <si>
    <t>Region</t>
  </si>
  <si>
    <t>Category</t>
  </si>
  <si>
    <t>Product</t>
  </si>
  <si>
    <t>Quantity</t>
  </si>
  <si>
    <t>Unit_Price</t>
  </si>
  <si>
    <t>Discount</t>
  </si>
  <si>
    <t>Sales_Amount</t>
  </si>
  <si>
    <t>Customer_ID</t>
  </si>
  <si>
    <t>South</t>
  </si>
  <si>
    <t>North</t>
  </si>
  <si>
    <t>West</t>
  </si>
  <si>
    <t>East</t>
  </si>
  <si>
    <t>Office Supplies</t>
  </si>
  <si>
    <t>Electronics</t>
  </si>
  <si>
    <t>Furniture</t>
  </si>
  <si>
    <t>Pen</t>
  </si>
  <si>
    <t>Laptop</t>
  </si>
  <si>
    <t>Chair</t>
  </si>
  <si>
    <t>Bookcase</t>
  </si>
  <si>
    <t>Table</t>
  </si>
  <si>
    <t>Notebook</t>
  </si>
  <si>
    <t>Stapler</t>
  </si>
  <si>
    <t>Mouse</t>
  </si>
  <si>
    <t>Keyboard</t>
  </si>
  <si>
    <t>Monitor</t>
  </si>
  <si>
    <t>Month</t>
  </si>
  <si>
    <t>Year</t>
  </si>
  <si>
    <t>Month_Year</t>
  </si>
  <si>
    <t>Sum of Sales_Amount</t>
  </si>
  <si>
    <t>Total Sales</t>
  </si>
  <si>
    <t>Count of Order_ID</t>
  </si>
  <si>
    <t>Row Labels</t>
  </si>
  <si>
    <t>Grand Total</t>
  </si>
  <si>
    <t>Total  QuantitySold</t>
  </si>
  <si>
    <t>Total customer</t>
  </si>
  <si>
    <t>Average order value</t>
  </si>
  <si>
    <t>Apr-2024</t>
  </si>
  <si>
    <t>Feb-2024</t>
  </si>
  <si>
    <t>Jan-2024</t>
  </si>
  <si>
    <t>Jun-2024</t>
  </si>
  <si>
    <t>Mar-2024</t>
  </si>
  <si>
    <t>May-2024</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</si>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</sst>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4" x14ac:knownFonts="1">
    <font>
      <sz val="11"/>
      <color theme="1"/>
      <name val="Tw Cen MT"/>
      <family val="2"/>
      <scheme val="minor"/>
    </font>
    <font>
      <b/>
      <sz val="11"/>
      <color theme="1"/>
      <name val="Tw Cen MT"/>
      <family val="2"/>
      <scheme val="minor"/>
    </font>
    <font>
      <sz val="8"/>
      <name val="Tw Cen MT"/>
      <family val="2"/>
      <scheme val="minor"/>
    </font>
    <font>
      <b/>
      <sz val="20"/>
      <color theme="1"/>
      <name val="Tw Cen MT"/>
      <family val="2"/>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0">
    <xf numFmtId="0" fontId="0" fillId="0" borderId="0" xfId="0"/>
    <xf numFmtId="2"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1" fontId="0" fillId="0" borderId="0" xfId="0" applyNumberFormat="1"/>
    <xf numFmtId="0" fontId="0" fillId="2" borderId="14" xfId="0" applyFill="1" applyBorder="1"/>
    <xf numFmtId="0" fontId="0" fillId="2" borderId="0" xfId="0" applyFill="1"/>
    <xf numFmtId="0" fontId="0" fillId="2" borderId="15" xfId="0" applyFill="1" applyBorder="1"/>
    <xf numFmtId="0" fontId="0" fillId="2" borderId="16" xfId="0" applyFill="1" applyBorder="1"/>
    <xf numFmtId="0" fontId="0" fillId="2" borderId="17" xfId="0" applyFill="1" applyBorder="1"/>
    <xf numFmtId="0" fontId="0" fillId="2" borderId="18" xfId="0" applyFill="1" applyBorder="1"/>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0" xfId="0" applyFont="1" applyFill="1" applyAlignment="1">
      <alignment horizontal="center" vertical="center"/>
    </xf>
    <xf numFmtId="0" fontId="3" fillId="2" borderId="15" xfId="0" applyFont="1" applyFill="1" applyBorder="1" applyAlignment="1">
      <alignment horizontal="center" vertical="center"/>
    </xf>
    <xf numFmtId="0" fontId="0" fillId="0" borderId="0" xfId="0" applyNumberFormat="1"/>
  </cellXfs>
  <cellStyles count="1">
    <cellStyle name="Normal" xfId="0" builtinId="0"/>
  </cellStyles>
  <dxfs count="10">
    <dxf>
      <font>
        <color rgb="FF9C0006"/>
      </font>
      <fill>
        <patternFill>
          <bgColor rgb="FFFFC7CE"/>
        </patternFill>
      </fill>
    </dxf>
    <dxf>
      <numFmt numFmtId="1" formatCode="0"/>
    </dxf>
    <dxf>
      <numFmt numFmtId="1" formatCode="0"/>
    </dxf>
    <dxf>
      <numFmt numFmtId="164" formatCode="[$-14009]dd/mm/yyyy;@"/>
    </dxf>
    <dxf>
      <numFmt numFmtId="164" formatCode="[$-14009]dd/mm/yyyy;@"/>
    </dxf>
    <dxf>
      <numFmt numFmtId="164" formatCode="[$-14009]dd/mm/yyyy;@"/>
    </dxf>
    <dxf>
      <numFmt numFmtId="164"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Tw Cen MT"/>
        <family val="2"/>
        <scheme val="minor"/>
      </font>
      <numFmt numFmtId="2" formatCode="0.00"/>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Invisible" pivot="0" table="0" count="0" xr9:uid="{B0ECF3EE-B565-4271-BC2C-E9BF54D36C55}"/>
  </tableStyles>
  <colors>
    <mruColors>
      <color rgb="FFEAEAA8"/>
      <color rgb="FF6DE1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[project1_excel_dashboards.xlsx]KPi Cards!PivotTable9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Cards'!$B$3</c:f>
              <c:strCache>
                <c:ptCount val="1"/>
                <c:pt idx="0">
                  <c:v>Total</c:v>
                </c:pt>
              </c:strCache>
            </c:strRef>
          </c:tx>
          <c:spPr>
            <a:solidFill>
              <a:schemeClr val="accent1"/>
            </a:solidFill>
            <a:ln>
              <a:noFill/>
            </a:ln>
            <a:effectLst/>
          </c:spPr>
          <c:invertIfNegative val="0"/>
          <c:cat>
            <c:strRef>
              <c:f>'KPi Cards'!$A$4:$A$8</c:f>
              <c:strCache>
                <c:ptCount val="4"/>
                <c:pt idx="0">
                  <c:v>South</c:v>
                </c:pt>
                <c:pt idx="1">
                  <c:v>East</c:v>
                </c:pt>
                <c:pt idx="2">
                  <c:v>North</c:v>
                </c:pt>
                <c:pt idx="3">
                  <c:v>West</c:v>
                </c:pt>
              </c:strCache>
            </c:strRef>
          </c:cat>
          <c:val>
            <c:numRef>
              <c:f>'KPi Cards'!$B$4:$B$8</c:f>
              <c:numCache>
                <c:formatCode>General</c:formatCode>
                <c:ptCount val="4"/>
                <c:pt idx="0">
                  <c:v>829227.75</c:v>
                </c:pt>
                <c:pt idx="1">
                  <c:v>978768.7</c:v>
                </c:pt>
                <c:pt idx="2">
                  <c:v>1090607.95</c:v>
                </c:pt>
                <c:pt idx="3">
                  <c:v>1179475.7</c:v>
                </c:pt>
              </c:numCache>
            </c:numRef>
          </c:val>
          <c:extLst>
            <c:ext xmlns:c16="http://schemas.microsoft.com/office/drawing/2014/chart" uri="{C3380CC4-5D6E-409C-BE32-E72D297353CC}">
              <c16:uniqueId val="{00000000-899B-48E4-8091-4711AAA026C0}"/>
            </c:ext>
          </c:extLst>
        </c:ser>
        <c:dLbls>
          <c:showLegendKey val="0"/>
          <c:showVal val="0"/>
          <c:showCatName val="0"/>
          <c:showSerName val="0"/>
          <c:showPercent val="0"/>
          <c:showBubbleSize val="0"/>
        </c:dLbls>
        <c:gapWidth val="219"/>
        <c:overlap val="-27"/>
        <c:axId val="530361199"/>
        <c:axId val="530362639"/>
      </c:barChart>
      <c:catAx>
        <c:axId val="53036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62639"/>
        <c:crosses val="autoZero"/>
        <c:auto val="1"/>
        <c:lblAlgn val="ctr"/>
        <c:lblOffset val="100"/>
        <c:noMultiLvlLbl val="0"/>
      </c:catAx>
      <c:valAx>
        <c:axId val="5303626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6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[project1_excel_dashboards.xlsx]KPi Cards!PivotTable10</c:name>
    <c:fmtId val="1"/>
  </c:pivotSource>
  <c:chart>
    <c:autoTitleDeleted val="1"/>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 Cards'!$B$19</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4526-44EE-91D1-410FE80AA926}"/>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4-4526-44EE-91D1-410FE80AA926}"/>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2-4526-44EE-91D1-410FE80AA926}"/>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26-44EE-91D1-410FE80AA926}"/>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26-44EE-91D1-410FE80AA926}"/>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26-44EE-91D1-410FE80AA9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 Cards'!$A$20:$A$23</c:f>
              <c:strCache>
                <c:ptCount val="3"/>
                <c:pt idx="0">
                  <c:v>Electronics</c:v>
                </c:pt>
                <c:pt idx="1">
                  <c:v>Furniture</c:v>
                </c:pt>
                <c:pt idx="2">
                  <c:v>Office Supplies</c:v>
                </c:pt>
              </c:strCache>
            </c:strRef>
          </c:cat>
          <c:val>
            <c:numRef>
              <c:f>'KPi Cards'!$B$20:$B$23</c:f>
              <c:numCache>
                <c:formatCode>General</c:formatCode>
                <c:ptCount val="3"/>
                <c:pt idx="0">
                  <c:v>1431724.6999999997</c:v>
                </c:pt>
                <c:pt idx="1">
                  <c:v>1388382.5500000003</c:v>
                </c:pt>
                <c:pt idx="2">
                  <c:v>1257972.8499999999</c:v>
                </c:pt>
              </c:numCache>
            </c:numRef>
          </c:val>
          <c:extLst>
            <c:ext xmlns:c16="http://schemas.microsoft.com/office/drawing/2014/chart" uri="{C3380CC4-5D6E-409C-BE32-E72D297353CC}">
              <c16:uniqueId val="{00000000-4526-44EE-91D1-410FE80AA9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[project1_excel_dashboards.xlsx]KPi Cards!PivotTable11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Cards'!$M$2</c:f>
              <c:strCache>
                <c:ptCount val="1"/>
                <c:pt idx="0">
                  <c:v>Total</c:v>
                </c:pt>
              </c:strCache>
            </c:strRef>
          </c:tx>
          <c:spPr>
            <a:solidFill>
              <a:schemeClr val="accent1"/>
            </a:solidFill>
            <a:ln>
              <a:noFill/>
            </a:ln>
            <a:effectLst/>
          </c:spPr>
          <c:invertIfNegative val="0"/>
          <c:cat>
            <c:strRef>
              <c:f>'KPi Cards'!$L$3:$L$13</c:f>
              <c:strCache>
                <c:ptCount val="10"/>
                <c:pt idx="0">
                  <c:v>Mouse</c:v>
                </c:pt>
                <c:pt idx="1">
                  <c:v>Laptop</c:v>
                </c:pt>
                <c:pt idx="2">
                  <c:v>Table</c:v>
                </c:pt>
                <c:pt idx="3">
                  <c:v>Keyboard</c:v>
                </c:pt>
                <c:pt idx="4">
                  <c:v>Stapler</c:v>
                </c:pt>
                <c:pt idx="5">
                  <c:v>Notebook</c:v>
                </c:pt>
                <c:pt idx="6">
                  <c:v>Monitor</c:v>
                </c:pt>
                <c:pt idx="7">
                  <c:v>Pen</c:v>
                </c:pt>
                <c:pt idx="8">
                  <c:v>Bookcase</c:v>
                </c:pt>
                <c:pt idx="9">
                  <c:v>Chair</c:v>
                </c:pt>
              </c:strCache>
            </c:strRef>
          </c:cat>
          <c:val>
            <c:numRef>
              <c:f>'KPi Cards'!$M$3:$M$13</c:f>
              <c:numCache>
                <c:formatCode>General</c:formatCode>
                <c:ptCount val="10"/>
                <c:pt idx="0">
                  <c:v>302439.5</c:v>
                </c:pt>
                <c:pt idx="1">
                  <c:v>345093.85</c:v>
                </c:pt>
                <c:pt idx="2">
                  <c:v>362857.84999999992</c:v>
                </c:pt>
                <c:pt idx="3">
                  <c:v>367919.25</c:v>
                </c:pt>
                <c:pt idx="4">
                  <c:v>389103.3</c:v>
                </c:pt>
                <c:pt idx="5">
                  <c:v>390684.60000000003</c:v>
                </c:pt>
                <c:pt idx="6">
                  <c:v>416272.10000000003</c:v>
                </c:pt>
                <c:pt idx="7">
                  <c:v>478184.94999999995</c:v>
                </c:pt>
                <c:pt idx="8">
                  <c:v>486713.25</c:v>
                </c:pt>
                <c:pt idx="9">
                  <c:v>538811.44999999995</c:v>
                </c:pt>
              </c:numCache>
            </c:numRef>
          </c:val>
          <c:extLst>
            <c:ext xmlns:c16="http://schemas.microsoft.com/office/drawing/2014/chart" uri="{C3380CC4-5D6E-409C-BE32-E72D297353CC}">
              <c16:uniqueId val="{00000000-779C-4A60-B8A7-80C1D9A680D3}"/>
            </c:ext>
          </c:extLst>
        </c:ser>
        <c:dLbls>
          <c:showLegendKey val="0"/>
          <c:showVal val="0"/>
          <c:showCatName val="0"/>
          <c:showSerName val="0"/>
          <c:showPercent val="0"/>
          <c:showBubbleSize val="0"/>
        </c:dLbls>
        <c:gapWidth val="182"/>
        <c:axId val="649830047"/>
        <c:axId val="649829567"/>
      </c:barChart>
      <c:catAx>
        <c:axId val="64983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29567"/>
        <c:crosses val="autoZero"/>
        <c:auto val="1"/>
        <c:lblAlgn val="ctr"/>
        <c:lblOffset val="100"/>
        <c:noMultiLvlLbl val="0"/>
      </c:catAx>
      <c:valAx>
        <c:axId val="6498295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[project1_excel_dashboards.xlsx]KPi Cards!PivotTable12</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solidFill>
            <a:round/>
            <a:headEnd type="none"/>
            <a:tailEnd type="triangle"/>
          </a:ln>
          <a:effectLst/>
        </c:spPr>
        <c:marker>
          <c:symbol val="circle"/>
          <c:size val="5"/>
          <c:spPr>
            <a:solidFill>
              <a:schemeClr val="tx1"/>
            </a:solidFill>
            <a:ln w="9525" cap="sq">
              <a:solidFill>
                <a:schemeClr val="tx1"/>
              </a:solidFill>
              <a:round/>
              <a:tailEnd type="triangle" w="lg" len="me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Cards'!$M$18</c:f>
              <c:strCache>
                <c:ptCount val="1"/>
                <c:pt idx="0">
                  <c:v>Total</c:v>
                </c:pt>
              </c:strCache>
            </c:strRef>
          </c:tx>
          <c:spPr>
            <a:ln w="28575" cap="rnd">
              <a:solidFill>
                <a:schemeClr val="tx1"/>
              </a:solidFill>
              <a:round/>
              <a:headEnd type="none"/>
              <a:tailEnd type="triangle"/>
            </a:ln>
            <a:effectLst/>
          </c:spPr>
          <c:marker>
            <c:symbol val="circle"/>
            <c:size val="5"/>
            <c:spPr>
              <a:solidFill>
                <a:schemeClr val="tx1"/>
              </a:solidFill>
              <a:ln w="9525" cap="sq">
                <a:solidFill>
                  <a:schemeClr val="tx1"/>
                </a:solidFill>
                <a:round/>
                <a:tailEnd type="triangle" w="lg" len="med"/>
              </a:ln>
              <a:effectLst/>
            </c:spPr>
          </c:marker>
          <c:cat>
            <c:strRef>
              <c:f>'KPi Cards'!$L$19:$L$25</c:f>
              <c:strCache>
                <c:ptCount val="6"/>
                <c:pt idx="0">
                  <c:v>Apr-2024</c:v>
                </c:pt>
                <c:pt idx="1">
                  <c:v>Feb-2024</c:v>
                </c:pt>
                <c:pt idx="2">
                  <c:v>Jan-2024</c:v>
                </c:pt>
                <c:pt idx="3">
                  <c:v>Jun-2024</c:v>
                </c:pt>
                <c:pt idx="4">
                  <c:v>Mar-2024</c:v>
                </c:pt>
                <c:pt idx="5">
                  <c:v>May-2024</c:v>
                </c:pt>
              </c:strCache>
            </c:strRef>
          </c:cat>
          <c:val>
            <c:numRef>
              <c:f>'KPi Cards'!$M$19:$M$25</c:f>
              <c:numCache>
                <c:formatCode>General</c:formatCode>
                <c:ptCount val="6"/>
                <c:pt idx="0">
                  <c:v>721924.04999999981</c:v>
                </c:pt>
                <c:pt idx="1">
                  <c:v>584519.64999999991</c:v>
                </c:pt>
                <c:pt idx="2">
                  <c:v>666835.35</c:v>
                </c:pt>
                <c:pt idx="3">
                  <c:v>708655.85</c:v>
                </c:pt>
                <c:pt idx="4">
                  <c:v>723358</c:v>
                </c:pt>
                <c:pt idx="5">
                  <c:v>672787.2</c:v>
                </c:pt>
              </c:numCache>
            </c:numRef>
          </c:val>
          <c:smooth val="1"/>
          <c:extLst>
            <c:ext xmlns:c16="http://schemas.microsoft.com/office/drawing/2014/chart" uri="{C3380CC4-5D6E-409C-BE32-E72D297353CC}">
              <c16:uniqueId val="{00000000-8C8E-4A44-AA35-B71B7B42D566}"/>
            </c:ext>
          </c:extLst>
        </c:ser>
        <c:dLbls>
          <c:showLegendKey val="0"/>
          <c:showVal val="0"/>
          <c:showCatName val="0"/>
          <c:showSerName val="0"/>
          <c:showPercent val="0"/>
          <c:showBubbleSize val="0"/>
        </c:dLbls>
        <c:marker val="1"/>
        <c:smooth val="0"/>
        <c:axId val="12438175"/>
        <c:axId val="12444415"/>
      </c:lineChart>
      <c:catAx>
        <c:axId val="1243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415"/>
        <c:crosses val="autoZero"/>
        <c:auto val="1"/>
        <c:lblAlgn val="ctr"/>
        <c:lblOffset val="100"/>
        <c:noMultiLvlLbl val="0"/>
      </c:catAx>
      <c:valAx>
        <c:axId val="1244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[project1_excel_dashboards.xlsx]KPi Cards!PivotTable9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Cards'!$B$3</c:f>
              <c:strCache>
                <c:ptCount val="1"/>
                <c:pt idx="0">
                  <c:v>Total</c:v>
                </c:pt>
              </c:strCache>
            </c:strRef>
          </c:tx>
          <c:spPr>
            <a:solidFill>
              <a:schemeClr val="accent1"/>
            </a:solidFill>
            <a:ln>
              <a:noFill/>
            </a:ln>
            <a:effectLst/>
          </c:spPr>
          <c:invertIfNegative val="0"/>
          <c:cat>
            <c:strRef>
              <c:f>'KPi Cards'!$A$4:$A$8</c:f>
              <c:strCache>
                <c:ptCount val="4"/>
                <c:pt idx="0">
                  <c:v>South</c:v>
                </c:pt>
                <c:pt idx="1">
                  <c:v>East</c:v>
                </c:pt>
                <c:pt idx="2">
                  <c:v>North</c:v>
                </c:pt>
                <c:pt idx="3">
                  <c:v>West</c:v>
                </c:pt>
              </c:strCache>
            </c:strRef>
          </c:cat>
          <c:val>
            <c:numRef>
              <c:f>'KPi Cards'!$B$4:$B$8</c:f>
              <c:numCache>
                <c:formatCode>General</c:formatCode>
                <c:ptCount val="4"/>
                <c:pt idx="0">
                  <c:v>829227.75</c:v>
                </c:pt>
                <c:pt idx="1">
                  <c:v>978768.7</c:v>
                </c:pt>
                <c:pt idx="2">
                  <c:v>1090607.95</c:v>
                </c:pt>
                <c:pt idx="3">
                  <c:v>1179475.7</c:v>
                </c:pt>
              </c:numCache>
            </c:numRef>
          </c:val>
          <c:extLst>
            <c:ext xmlns:c16="http://schemas.microsoft.com/office/drawing/2014/chart" uri="{C3380CC4-5D6E-409C-BE32-E72D297353CC}">
              <c16:uniqueId val="{00000000-D494-439F-B3B3-5CE1ED568BB2}"/>
            </c:ext>
          </c:extLst>
        </c:ser>
        <c:dLbls>
          <c:showLegendKey val="0"/>
          <c:showVal val="0"/>
          <c:showCatName val="0"/>
          <c:showSerName val="0"/>
          <c:showPercent val="0"/>
          <c:showBubbleSize val="0"/>
        </c:dLbls>
        <c:gapWidth val="219"/>
        <c:overlap val="-27"/>
        <c:axId val="530361199"/>
        <c:axId val="530362639"/>
      </c:barChart>
      <c:catAx>
        <c:axId val="53036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62639"/>
        <c:crosses val="autoZero"/>
        <c:auto val="1"/>
        <c:lblAlgn val="ctr"/>
        <c:lblOffset val="100"/>
        <c:noMultiLvlLbl val="0"/>
      </c:catAx>
      <c:valAx>
        <c:axId val="5303626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6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[project1_excel_dashboards.xlsx]KPi Cards!PivotTable10</c:name>
    <c:fmtId val="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 Cards'!$B$19</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C01B-451C-AD39-5689A1BFA288}"/>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C01B-451C-AD39-5689A1BFA288}"/>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C01B-451C-AD39-5689A1BFA288}"/>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1B-451C-AD39-5689A1BFA288}"/>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1B-451C-AD39-5689A1BFA288}"/>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1B-451C-AD39-5689A1BFA2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 Cards'!$A$20:$A$23</c:f>
              <c:strCache>
                <c:ptCount val="3"/>
                <c:pt idx="0">
                  <c:v>Electronics</c:v>
                </c:pt>
                <c:pt idx="1">
                  <c:v>Furniture</c:v>
                </c:pt>
                <c:pt idx="2">
                  <c:v>Office Supplies</c:v>
                </c:pt>
              </c:strCache>
            </c:strRef>
          </c:cat>
          <c:val>
            <c:numRef>
              <c:f>'KPi Cards'!$B$20:$B$23</c:f>
              <c:numCache>
                <c:formatCode>General</c:formatCode>
                <c:ptCount val="3"/>
                <c:pt idx="0">
                  <c:v>1431724.6999999997</c:v>
                </c:pt>
                <c:pt idx="1">
                  <c:v>1388382.5500000003</c:v>
                </c:pt>
                <c:pt idx="2">
                  <c:v>1257972.8499999999</c:v>
                </c:pt>
              </c:numCache>
            </c:numRef>
          </c:val>
          <c:extLst>
            <c:ext xmlns:c16="http://schemas.microsoft.com/office/drawing/2014/chart" uri="{C3380CC4-5D6E-409C-BE32-E72D297353CC}">
              <c16:uniqueId val="{00000006-C01B-451C-AD39-5689A1BFA2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[project1_excel_dashboards.xlsx]KPi Cards!PivotTable11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Cards'!$M$2</c:f>
              <c:strCache>
                <c:ptCount val="1"/>
                <c:pt idx="0">
                  <c:v>Total</c:v>
                </c:pt>
              </c:strCache>
            </c:strRef>
          </c:tx>
          <c:spPr>
            <a:solidFill>
              <a:schemeClr val="accent1"/>
            </a:solidFill>
            <a:ln>
              <a:noFill/>
            </a:ln>
            <a:effectLst/>
          </c:spPr>
          <c:invertIfNegative val="0"/>
          <c:cat>
            <c:strRef>
              <c:f>'KPi Cards'!$L$3:$L$13</c:f>
              <c:strCache>
                <c:ptCount val="10"/>
                <c:pt idx="0">
                  <c:v>Mouse</c:v>
                </c:pt>
                <c:pt idx="1">
                  <c:v>Laptop</c:v>
                </c:pt>
                <c:pt idx="2">
                  <c:v>Table</c:v>
                </c:pt>
                <c:pt idx="3">
                  <c:v>Keyboard</c:v>
                </c:pt>
                <c:pt idx="4">
                  <c:v>Stapler</c:v>
                </c:pt>
                <c:pt idx="5">
                  <c:v>Notebook</c:v>
                </c:pt>
                <c:pt idx="6">
                  <c:v>Monitor</c:v>
                </c:pt>
                <c:pt idx="7">
                  <c:v>Pen</c:v>
                </c:pt>
                <c:pt idx="8">
                  <c:v>Bookcase</c:v>
                </c:pt>
                <c:pt idx="9">
                  <c:v>Chair</c:v>
                </c:pt>
              </c:strCache>
            </c:strRef>
          </c:cat>
          <c:val>
            <c:numRef>
              <c:f>'KPi Cards'!$M$3:$M$13</c:f>
              <c:numCache>
                <c:formatCode>General</c:formatCode>
                <c:ptCount val="10"/>
                <c:pt idx="0">
                  <c:v>302439.5</c:v>
                </c:pt>
                <c:pt idx="1">
                  <c:v>345093.85</c:v>
                </c:pt>
                <c:pt idx="2">
                  <c:v>362857.84999999992</c:v>
                </c:pt>
                <c:pt idx="3">
                  <c:v>367919.25</c:v>
                </c:pt>
                <c:pt idx="4">
                  <c:v>389103.3</c:v>
                </c:pt>
                <c:pt idx="5">
                  <c:v>390684.60000000003</c:v>
                </c:pt>
                <c:pt idx="6">
                  <c:v>416272.10000000003</c:v>
                </c:pt>
                <c:pt idx="7">
                  <c:v>478184.94999999995</c:v>
                </c:pt>
                <c:pt idx="8">
                  <c:v>486713.25</c:v>
                </c:pt>
                <c:pt idx="9">
                  <c:v>538811.44999999995</c:v>
                </c:pt>
              </c:numCache>
            </c:numRef>
          </c:val>
          <c:extLst>
            <c:ext xmlns:c16="http://schemas.microsoft.com/office/drawing/2014/chart" uri="{C3380CC4-5D6E-409C-BE32-E72D297353CC}">
              <c16:uniqueId val="{00000000-01AF-421A-9DEC-31EE46D1E915}"/>
            </c:ext>
          </c:extLst>
        </c:ser>
        <c:dLbls>
          <c:showLegendKey val="0"/>
          <c:showVal val="0"/>
          <c:showCatName val="0"/>
          <c:showSerName val="0"/>
          <c:showPercent val="0"/>
          <c:showBubbleSize val="0"/>
        </c:dLbls>
        <c:gapWidth val="182"/>
        <c:axId val="649830047"/>
        <c:axId val="649829567"/>
      </c:barChart>
      <c:catAx>
        <c:axId val="64983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29567"/>
        <c:crosses val="autoZero"/>
        <c:auto val="1"/>
        <c:lblAlgn val="ctr"/>
        <c:lblOffset val="100"/>
        <c:noMultiLvlLbl val="0"/>
      </c:catAx>
      <c:valAx>
        <c:axId val="6498295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[project1_excel_dashboards.xlsx]KPi Cards!PivotTable12</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headEnd type="none"/>
            <a:tailEnd type="triangle"/>
          </a:ln>
          <a:effectLst/>
        </c:spPr>
        <c:marker>
          <c:symbol val="circle"/>
          <c:size val="5"/>
          <c:spPr>
            <a:solidFill>
              <a:schemeClr val="tx1"/>
            </a:solidFill>
            <a:ln w="9525" cap="sq">
              <a:solidFill>
                <a:schemeClr val="tx1"/>
              </a:solidFill>
              <a:round/>
              <a:tailEnd type="triangle" w="lg" len="me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headEnd type="none"/>
            <a:tailEnd type="triangle"/>
          </a:ln>
          <a:effectLst/>
        </c:spPr>
        <c:marker>
          <c:symbol val="circle"/>
          <c:size val="5"/>
          <c:spPr>
            <a:solidFill>
              <a:schemeClr val="tx1"/>
            </a:solidFill>
            <a:ln w="9525" cap="sq">
              <a:solidFill>
                <a:schemeClr val="tx1"/>
              </a:solidFill>
              <a:round/>
              <a:tailEnd type="triangle" w="lg" len="me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headEnd type="none"/>
            <a:tailEnd type="triangle"/>
          </a:ln>
          <a:effectLst/>
        </c:spPr>
        <c:marker>
          <c:symbol val="circle"/>
          <c:size val="5"/>
          <c:spPr>
            <a:solidFill>
              <a:schemeClr val="tx1"/>
            </a:solidFill>
            <a:ln w="9525" cap="sq">
              <a:solidFill>
                <a:schemeClr val="tx1"/>
              </a:solidFill>
              <a:round/>
              <a:tailEnd type="triangle" w="lg" len="me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Cards'!$M$18</c:f>
              <c:strCache>
                <c:ptCount val="1"/>
                <c:pt idx="0">
                  <c:v>Total</c:v>
                </c:pt>
              </c:strCache>
            </c:strRef>
          </c:tx>
          <c:spPr>
            <a:ln w="28575" cap="rnd">
              <a:solidFill>
                <a:schemeClr val="tx1"/>
              </a:solidFill>
              <a:round/>
              <a:headEnd type="none"/>
              <a:tailEnd type="triangle"/>
            </a:ln>
            <a:effectLst/>
          </c:spPr>
          <c:marker>
            <c:symbol val="circle"/>
            <c:size val="5"/>
            <c:spPr>
              <a:solidFill>
                <a:schemeClr val="tx1"/>
              </a:solidFill>
              <a:ln w="9525" cap="sq">
                <a:solidFill>
                  <a:schemeClr val="tx1"/>
                </a:solidFill>
                <a:round/>
                <a:tailEnd type="triangle" w="lg" len="med"/>
              </a:ln>
              <a:effectLst/>
            </c:spPr>
          </c:marker>
          <c:cat>
            <c:strRef>
              <c:f>'KPi Cards'!$L$19:$L$25</c:f>
              <c:strCache>
                <c:ptCount val="6"/>
                <c:pt idx="0">
                  <c:v>Apr-2024</c:v>
                </c:pt>
                <c:pt idx="1">
                  <c:v>Feb-2024</c:v>
                </c:pt>
                <c:pt idx="2">
                  <c:v>Jan-2024</c:v>
                </c:pt>
                <c:pt idx="3">
                  <c:v>Jun-2024</c:v>
                </c:pt>
                <c:pt idx="4">
                  <c:v>Mar-2024</c:v>
                </c:pt>
                <c:pt idx="5">
                  <c:v>May-2024</c:v>
                </c:pt>
              </c:strCache>
            </c:strRef>
          </c:cat>
          <c:val>
            <c:numRef>
              <c:f>'KPi Cards'!$M$19:$M$25</c:f>
              <c:numCache>
                <c:formatCode>General</c:formatCode>
                <c:ptCount val="6"/>
                <c:pt idx="0">
                  <c:v>721924.04999999981</c:v>
                </c:pt>
                <c:pt idx="1">
                  <c:v>584519.64999999991</c:v>
                </c:pt>
                <c:pt idx="2">
                  <c:v>666835.35</c:v>
                </c:pt>
                <c:pt idx="3">
                  <c:v>708655.85</c:v>
                </c:pt>
                <c:pt idx="4">
                  <c:v>723358</c:v>
                </c:pt>
                <c:pt idx="5">
                  <c:v>672787.2</c:v>
                </c:pt>
              </c:numCache>
            </c:numRef>
          </c:val>
          <c:smooth val="1"/>
          <c:extLst>
            <c:ext xmlns:c16="http://schemas.microsoft.com/office/drawing/2014/chart" uri="{C3380CC4-5D6E-409C-BE32-E72D297353CC}">
              <c16:uniqueId val="{00000000-8AA0-4081-9221-947201C7A9A9}"/>
            </c:ext>
          </c:extLst>
        </c:ser>
        <c:dLbls>
          <c:showLegendKey val="0"/>
          <c:showVal val="0"/>
          <c:showCatName val="0"/>
          <c:showSerName val="0"/>
          <c:showPercent val="0"/>
          <c:showBubbleSize val="0"/>
        </c:dLbls>
        <c:marker val="1"/>
        <c:smooth val="0"/>
        <c:axId val="12438175"/>
        <c:axId val="12444415"/>
      </c:lineChart>
      <c:catAx>
        <c:axId val="1243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415"/>
        <c:crosses val="autoZero"/>
        <c:auto val="1"/>
        <c:lblAlgn val="ctr"/>
        <c:lblOffset val="100"/>
        <c:noMultiLvlLbl val="0"/>
      </c:catAx>
      <c:valAx>
        <c:axId val="1244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121920</xdr:colOff>
      <xdr:row>5</xdr:row>
      <xdr:rowOff>15240</xdr:rowOff>
    </xdr:from>
    <xdr:to>
      <xdr:col>2</xdr:col>
      <xdr:colOff>106680</xdr:colOff>
      <xdr:row>8</xdr:row>
      <xdr:rowOff>68580</xdr:rowOff>
    </xdr:to>
    <xdr:sp macro="" textlink="">
      <xdr:nvSpPr>
        <xdr:cNvPr id="3" name="TextBox 2">
          <a:extLst>
            <a:ext uri="{FF2B5EF4-FFF2-40B4-BE49-F238E27FC236}">
              <a16:creationId xmlns:a16="http://schemas.microsoft.com/office/drawing/2014/main" id="{93681F4D-217C-AB72-AE20-72709BA1D7F3}"/>
            </a:ext>
          </a:extLst>
        </xdr:cNvPr>
        <xdr:cNvSpPr txBox="1"/>
      </xdr:nvSpPr>
      <xdr:spPr>
        <a:xfrm>
          <a:off x="121920" y="92964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Total Sales</a:t>
          </a:r>
          <a:r>
            <a:rPr lang="en-IN" sz="1400">
              <a:solidFill>
                <a:schemeClr val="dk1"/>
              </a:solidFill>
              <a:effectLst/>
              <a:latin typeface="+mn-lt"/>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0" i="0">
              <a:solidFill>
                <a:schemeClr val="dk1"/>
              </a:solidFill>
              <a:effectLst/>
              <a:latin typeface="+mn-lt"/>
              <a:ea typeface="+mn-ea"/>
              <a:cs typeface="+mn-cs"/>
            </a:rPr>
            <a:t>4078080</a:t>
          </a:r>
          <a:r>
            <a:rPr lang="en-IN" sz="1400" b="0">
              <a:solidFill>
                <a:schemeClr val="dk1"/>
              </a:solidFill>
              <a:effectLst/>
              <a:latin typeface="+mn-lt"/>
              <a:ea typeface="+mn-ea"/>
              <a:cs typeface="+mn-cs"/>
            </a:rPr>
            <a:t> </a:t>
          </a:r>
          <a:endParaRPr lang="en-IN" sz="1400" b="0">
            <a:effectLst/>
          </a:endParaRPr>
        </a:p>
        <a:p>
          <a:pPr algn="ctr"/>
          <a:endParaRPr lang="en-IN" sz="1400"/>
        </a:p>
      </xdr:txBody>
    </xdr:sp>
    <xdr:clientData/>
  </xdr:twoCellAnchor>
  <xdr:twoCellAnchor>
    <xdr:from>
      <xdr:col>0</xdr:col>
      <xdr:colOff>121920</xdr:colOff>
      <xdr:row>10</xdr:row>
      <xdr:rowOff>38100</xdr:rowOff>
    </xdr:from>
    <xdr:to>
      <xdr:col>2</xdr:col>
      <xdr:colOff>106680</xdr:colOff>
      <xdr:row>13</xdr:row>
      <xdr:rowOff>91440</xdr:rowOff>
    </xdr:to>
    <xdr:sp macro="" textlink="">
      <xdr:nvSpPr>
        <xdr:cNvPr id="4" name="TextBox 3">
          <a:extLst>
            <a:ext uri="{FF2B5EF4-FFF2-40B4-BE49-F238E27FC236}">
              <a16:creationId xmlns:a16="http://schemas.microsoft.com/office/drawing/2014/main" id="{1066AB16-B5DD-4362-867E-3129A66D5B63}"/>
            </a:ext>
          </a:extLst>
        </xdr:cNvPr>
        <xdr:cNvSpPr txBox="1"/>
      </xdr:nvSpPr>
      <xdr:spPr>
        <a:xfrm>
          <a:off x="121920" y="186690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Count of Order_ID </a:t>
          </a:r>
          <a:r>
            <a:rPr lang="en-IN" sz="1400" b="0" i="0">
              <a:solidFill>
                <a:schemeClr val="dk1"/>
              </a:solidFill>
              <a:effectLst/>
              <a:latin typeface="+mn-lt"/>
              <a:ea typeface="+mn-ea"/>
              <a:cs typeface="+mn-cs"/>
            </a:rPr>
            <a:t>300 </a:t>
          </a:r>
        </a:p>
      </xdr:txBody>
    </xdr:sp>
    <xdr:clientData/>
  </xdr:twoCellAnchor>
  <xdr:twoCellAnchor>
    <xdr:from>
      <xdr:col>2</xdr:col>
      <xdr:colOff>464820</xdr:colOff>
      <xdr:row>6</xdr:row>
      <xdr:rowOff>160020</xdr:rowOff>
    </xdr:from>
    <xdr:to>
      <xdr:col>4</xdr:col>
      <xdr:colOff>129540</xdr:colOff>
      <xdr:row>10</xdr:row>
      <xdr:rowOff>30480</xdr:rowOff>
    </xdr:to>
    <xdr:sp macro="" textlink="">
      <xdr:nvSpPr>
        <xdr:cNvPr id="5" name="TextBox 4">
          <a:extLst>
            <a:ext uri="{FF2B5EF4-FFF2-40B4-BE49-F238E27FC236}">
              <a16:creationId xmlns:a16="http://schemas.microsoft.com/office/drawing/2014/main" id="{D9E7DCCF-FA7F-483D-8ED5-FE84387786A8}"/>
            </a:ext>
          </a:extLst>
        </xdr:cNvPr>
        <xdr:cNvSpPr txBox="1"/>
      </xdr:nvSpPr>
      <xdr:spPr>
        <a:xfrm>
          <a:off x="2270760" y="125730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Total  QuantitySold </a:t>
          </a:r>
          <a:r>
            <a:rPr lang="en-IN" sz="1400" b="0" i="0">
              <a:solidFill>
                <a:schemeClr val="dk1"/>
              </a:solidFill>
              <a:effectLst/>
              <a:latin typeface="+mn-lt"/>
              <a:ea typeface="+mn-ea"/>
              <a:cs typeface="+mn-cs"/>
            </a:rPr>
            <a:t>1704 </a:t>
          </a:r>
        </a:p>
      </xdr:txBody>
    </xdr:sp>
    <xdr:clientData/>
  </xdr:twoCellAnchor>
  <xdr:twoCellAnchor>
    <xdr:from>
      <xdr:col>0</xdr:col>
      <xdr:colOff>182880</xdr:colOff>
      <xdr:row>15</xdr:row>
      <xdr:rowOff>22860</xdr:rowOff>
    </xdr:from>
    <xdr:to>
      <xdr:col>2</xdr:col>
      <xdr:colOff>167640</xdr:colOff>
      <xdr:row>18</xdr:row>
      <xdr:rowOff>76200</xdr:rowOff>
    </xdr:to>
    <xdr:sp macro="" textlink="">
      <xdr:nvSpPr>
        <xdr:cNvPr id="6" name="TextBox 5">
          <a:extLst>
            <a:ext uri="{FF2B5EF4-FFF2-40B4-BE49-F238E27FC236}">
              <a16:creationId xmlns:a16="http://schemas.microsoft.com/office/drawing/2014/main" id="{6A5678D1-8FE2-49E6-8AA4-A6CFDC7138FE}"/>
            </a:ext>
          </a:extLst>
        </xdr:cNvPr>
        <xdr:cNvSpPr txBox="1"/>
      </xdr:nvSpPr>
      <xdr:spPr>
        <a:xfrm>
          <a:off x="182880" y="276606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Total customer                     </a:t>
          </a:r>
          <a:r>
            <a:rPr lang="en-IN" sz="1400" b="0" i="0">
              <a:solidFill>
                <a:schemeClr val="dk1"/>
              </a:solidFill>
              <a:effectLst/>
              <a:latin typeface="+mn-lt"/>
              <a:ea typeface="+mn-ea"/>
              <a:cs typeface="+mn-cs"/>
            </a:rPr>
            <a:t>97 </a:t>
          </a:r>
        </a:p>
      </xdr:txBody>
    </xdr:sp>
    <xdr:clientData/>
  </xdr:twoCellAnchor>
  <xdr:twoCellAnchor>
    <xdr:from>
      <xdr:col>2</xdr:col>
      <xdr:colOff>579120</xdr:colOff>
      <xdr:row>12</xdr:row>
      <xdr:rowOff>45720</xdr:rowOff>
    </xdr:from>
    <xdr:to>
      <xdr:col>4</xdr:col>
      <xdr:colOff>243840</xdr:colOff>
      <xdr:row>15</xdr:row>
      <xdr:rowOff>99060</xdr:rowOff>
    </xdr:to>
    <xdr:sp macro="" textlink="">
      <xdr:nvSpPr>
        <xdr:cNvPr id="7" name="TextBox 6">
          <a:extLst>
            <a:ext uri="{FF2B5EF4-FFF2-40B4-BE49-F238E27FC236}">
              <a16:creationId xmlns:a16="http://schemas.microsoft.com/office/drawing/2014/main" id="{E07A5510-DE3D-4366-9A4C-87EC414A1563}"/>
            </a:ext>
          </a:extLst>
        </xdr:cNvPr>
        <xdr:cNvSpPr txBox="1"/>
      </xdr:nvSpPr>
      <xdr:spPr>
        <a:xfrm>
          <a:off x="2385060" y="224028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Average</a:t>
          </a:r>
          <a:r>
            <a:rPr lang="en-IN" sz="1100" b="1" i="0" u="none" strike="noStrike">
              <a:solidFill>
                <a:schemeClr val="dk1"/>
              </a:solidFill>
              <a:effectLst/>
              <a:latin typeface="+mn-lt"/>
              <a:ea typeface="+mn-ea"/>
              <a:cs typeface="+mn-cs"/>
            </a:rPr>
            <a:t> order value</a:t>
          </a:r>
          <a:r>
            <a:rPr lang="en-IN" sz="1400">
              <a:effectLst/>
            </a:rPr>
            <a:t> </a:t>
          </a:r>
          <a:r>
            <a:rPr lang="en-IN" sz="1400" b="0" i="0">
              <a:solidFill>
                <a:schemeClr val="dk1"/>
              </a:solidFill>
              <a:effectLst/>
              <a:latin typeface="+mn-lt"/>
              <a:ea typeface="+mn-ea"/>
              <a:cs typeface="+mn-cs"/>
            </a:rPr>
            <a:t>13594 </a:t>
          </a:r>
        </a:p>
      </xdr:txBody>
    </xdr:sp>
    <xdr:clientData/>
  </xdr:twoCellAnchor>
  <xdr:twoCellAnchor editAs="oneCell">
    <xdr:from>
      <xdr:col>8</xdr:col>
      <xdr:colOff>388620</xdr:colOff>
      <xdr:row>1</xdr:row>
      <xdr:rowOff>22861</xdr:rowOff>
    </xdr:from>
    <xdr:to>
      <xdr:col>11</xdr:col>
      <xdr:colOff>205740</xdr:colOff>
      <xdr:row>5</xdr:row>
      <xdr:rowOff>129541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653EB281-74AE-035B-8906-C485685A67F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91400" y="205741"/>
              <a:ext cx="1828800" cy="80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6</xdr:row>
      <xdr:rowOff>53341</xdr:rowOff>
    </xdr:from>
    <xdr:to>
      <xdr:col>11</xdr:col>
      <xdr:colOff>30480</xdr:colOff>
      <xdr:row>15</xdr:row>
      <xdr:rowOff>38101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F3AFEB2-EB16-6F7D-6FAA-6E050AB12D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16140" y="115062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350520</xdr:colOff>
      <xdr:row>16</xdr:row>
      <xdr:rowOff>99061</xdr:rowOff>
    </xdr:from>
    <xdr:to>
      <xdr:col>11</xdr:col>
      <xdr:colOff>167640</xdr:colOff>
      <xdr:row>23</xdr:row>
      <xdr:rowOff>99061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04B6450F-D471-B583-EA74-730DBD6FD4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53300" y="302514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259080</xdr:colOff>
      <xdr:row>0</xdr:row>
      <xdr:rowOff>19050</xdr:rowOff>
    </xdr:from>
    <xdr:to>
      <xdr:col>9</xdr:col>
      <xdr:colOff>7620</xdr:colOff>
      <xdr:row>15</xdr:row>
      <xdr:rowOff>19050</xdr:rowOff>
    </xdr:to>
    <xdr:graphicFrame macro="">
      <xdr:nvGraphicFramePr>
        <xdr:cNvPr id="2" name="Chart 1">
          <a:extLst>
            <a:ext uri="{FF2B5EF4-FFF2-40B4-BE49-F238E27FC236}">
              <a16:creationId xmlns:a16="http://schemas.microsoft.com/office/drawing/2014/main" id="{09FEC5C9-F969-AD79-4BBB-E5E0CE65D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17</xdr:row>
      <xdr:rowOff>64770</xdr:rowOff>
    </xdr:from>
    <xdr:to>
      <xdr:col>8</xdr:col>
      <xdr:colOff>487680</xdr:colOff>
      <xdr:row>30</xdr:row>
      <xdr:rowOff>60960</xdr:rowOff>
    </xdr:to>
    <xdr:graphicFrame macro="">
      <xdr:nvGraphicFramePr>
        <xdr:cNvPr id="3" name="Chart 2">
          <a:extLst>
            <a:ext uri="{FF2B5EF4-FFF2-40B4-BE49-F238E27FC236}">
              <a16:creationId xmlns:a16="http://schemas.microsoft.com/office/drawing/2014/main" id="{97265E1C-CD38-FF0B-D508-8298EFF65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259080</xdr:colOff>
      <xdr:row>0</xdr:row>
      <xdr:rowOff>110490</xdr:rowOff>
    </xdr:from>
    <xdr:to>
      <xdr:col>19</xdr:col>
      <xdr:colOff>487680</xdr:colOff>
      <xdr:row>14</xdr:row>
      <xdr:rowOff>68580</xdr:rowOff>
    </xdr:to>
    <xdr:graphicFrame macro="">
      <xdr:nvGraphicFramePr>
        <xdr:cNvPr id="4" name="Chart 3">
          <a:extLst>
            <a:ext uri="{FF2B5EF4-FFF2-40B4-BE49-F238E27FC236}">
              <a16:creationId xmlns:a16="http://schemas.microsoft.com/office/drawing/2014/main" id="{7857733E-DCAA-2463-5066-62052FDC2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312420</xdr:colOff>
      <xdr:row>16</xdr:row>
      <xdr:rowOff>152400</xdr:rowOff>
    </xdr:from>
    <xdr:to>
      <xdr:col>19</xdr:col>
      <xdr:colOff>396240</xdr:colOff>
      <xdr:row>29</xdr:row>
      <xdr:rowOff>68580</xdr:rowOff>
    </xdr:to>
    <xdr:graphicFrame macro="">
      <xdr:nvGraphicFramePr>
        <xdr:cNvPr id="5" name="Chart 4">
          <a:extLst>
            <a:ext uri="{FF2B5EF4-FFF2-40B4-BE49-F238E27FC236}">
              <a16:creationId xmlns:a16="http://schemas.microsoft.com/office/drawing/2014/main" id="{8F324F47-3A04-6576-325B-1DA34D13E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3</xdr:row>
      <xdr:rowOff>175260</xdr:rowOff>
    </xdr:from>
    <xdr:to>
      <xdr:col>3</xdr:col>
      <xdr:colOff>45720</xdr:colOff>
      <xdr:row>7</xdr:row>
      <xdr:rowOff>45720</xdr:rowOff>
    </xdr:to>
    <xdr:sp macro="" textlink="">
      <xdr:nvSpPr>
        <xdr:cNvPr id="3" name="TextBox 2">
          <a:extLst>
            <a:ext uri="{FF2B5EF4-FFF2-40B4-BE49-F238E27FC236}">
              <a16:creationId xmlns:a16="http://schemas.microsoft.com/office/drawing/2014/main" id="{68A1D640-3AE0-4C9E-BB2A-75D1AD92DDF1}"/>
            </a:ext>
          </a:extLst>
        </xdr:cNvPr>
        <xdr:cNvSpPr txBox="1"/>
      </xdr:nvSpPr>
      <xdr:spPr>
        <a:xfrm>
          <a:off x="83820" y="72390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Total Sales</a:t>
          </a:r>
          <a:r>
            <a:rPr lang="en-IN" sz="1400">
              <a:solidFill>
                <a:schemeClr val="dk1"/>
              </a:solidFill>
              <a:effectLst/>
              <a:latin typeface="+mn-lt"/>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0" i="0">
              <a:solidFill>
                <a:schemeClr val="dk1"/>
              </a:solidFill>
              <a:effectLst/>
              <a:latin typeface="+mn-lt"/>
              <a:ea typeface="+mn-ea"/>
              <a:cs typeface="+mn-cs"/>
            </a:rPr>
            <a:t>4078080</a:t>
          </a:r>
          <a:r>
            <a:rPr lang="en-IN" sz="1400" b="0">
              <a:solidFill>
                <a:schemeClr val="dk1"/>
              </a:solidFill>
              <a:effectLst/>
              <a:latin typeface="+mn-lt"/>
              <a:ea typeface="+mn-ea"/>
              <a:cs typeface="+mn-cs"/>
            </a:rPr>
            <a:t> </a:t>
          </a:r>
          <a:endParaRPr lang="en-IN" sz="1400" b="0">
            <a:effectLst/>
          </a:endParaRPr>
        </a:p>
        <a:p>
          <a:pPr algn="ctr"/>
          <a:endParaRPr lang="en-IN" sz="1400"/>
        </a:p>
      </xdr:txBody>
    </xdr:sp>
    <xdr:clientData/>
  </xdr:twoCellAnchor>
  <xdr:twoCellAnchor>
    <xdr:from>
      <xdr:col>3</xdr:col>
      <xdr:colOff>160020</xdr:colOff>
      <xdr:row>4</xdr:row>
      <xdr:rowOff>0</xdr:rowOff>
    </xdr:from>
    <xdr:to>
      <xdr:col>6</xdr:col>
      <xdr:colOff>121920</xdr:colOff>
      <xdr:row>7</xdr:row>
      <xdr:rowOff>53340</xdr:rowOff>
    </xdr:to>
    <xdr:sp macro="" textlink="">
      <xdr:nvSpPr>
        <xdr:cNvPr id="4" name="TextBox 3">
          <a:extLst>
            <a:ext uri="{FF2B5EF4-FFF2-40B4-BE49-F238E27FC236}">
              <a16:creationId xmlns:a16="http://schemas.microsoft.com/office/drawing/2014/main" id="{6EFFB372-21D6-4020-B1FB-2EBDB04B273D}"/>
            </a:ext>
          </a:extLst>
        </xdr:cNvPr>
        <xdr:cNvSpPr txBox="1"/>
      </xdr:nvSpPr>
      <xdr:spPr>
        <a:xfrm>
          <a:off x="1988820" y="73152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Total  QuantitySold </a:t>
          </a:r>
          <a:r>
            <a:rPr lang="en-IN" sz="1400" b="0" i="0">
              <a:solidFill>
                <a:schemeClr val="dk1"/>
              </a:solidFill>
              <a:effectLst/>
              <a:latin typeface="+mn-lt"/>
              <a:ea typeface="+mn-ea"/>
              <a:cs typeface="+mn-cs"/>
            </a:rPr>
            <a:t>1704 </a:t>
          </a:r>
        </a:p>
      </xdr:txBody>
    </xdr:sp>
    <xdr:clientData/>
  </xdr:twoCellAnchor>
  <xdr:twoCellAnchor>
    <xdr:from>
      <xdr:col>6</xdr:col>
      <xdr:colOff>205740</xdr:colOff>
      <xdr:row>3</xdr:row>
      <xdr:rowOff>175260</xdr:rowOff>
    </xdr:from>
    <xdr:to>
      <xdr:col>9</xdr:col>
      <xdr:colOff>167640</xdr:colOff>
      <xdr:row>7</xdr:row>
      <xdr:rowOff>45720</xdr:rowOff>
    </xdr:to>
    <xdr:sp macro="" textlink="">
      <xdr:nvSpPr>
        <xdr:cNvPr id="5" name="TextBox 4">
          <a:extLst>
            <a:ext uri="{FF2B5EF4-FFF2-40B4-BE49-F238E27FC236}">
              <a16:creationId xmlns:a16="http://schemas.microsoft.com/office/drawing/2014/main" id="{4F3C10FC-8707-4856-B4C1-68BFF4B0BDE0}"/>
            </a:ext>
          </a:extLst>
        </xdr:cNvPr>
        <xdr:cNvSpPr txBox="1"/>
      </xdr:nvSpPr>
      <xdr:spPr>
        <a:xfrm>
          <a:off x="3863340" y="72390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Count of Order_ID </a:t>
          </a:r>
          <a:r>
            <a:rPr lang="en-IN" sz="1400" b="0" i="0">
              <a:solidFill>
                <a:schemeClr val="dk1"/>
              </a:solidFill>
              <a:effectLst/>
              <a:latin typeface="+mn-lt"/>
              <a:ea typeface="+mn-ea"/>
              <a:cs typeface="+mn-cs"/>
            </a:rPr>
            <a:t>300 </a:t>
          </a:r>
        </a:p>
      </xdr:txBody>
    </xdr:sp>
    <xdr:clientData/>
  </xdr:twoCellAnchor>
  <xdr:twoCellAnchor>
    <xdr:from>
      <xdr:col>9</xdr:col>
      <xdr:colOff>236220</xdr:colOff>
      <xdr:row>4</xdr:row>
      <xdr:rowOff>0</xdr:rowOff>
    </xdr:from>
    <xdr:to>
      <xdr:col>12</xdr:col>
      <xdr:colOff>198120</xdr:colOff>
      <xdr:row>7</xdr:row>
      <xdr:rowOff>53340</xdr:rowOff>
    </xdr:to>
    <xdr:sp macro="" textlink="">
      <xdr:nvSpPr>
        <xdr:cNvPr id="6" name="TextBox 5">
          <a:extLst>
            <a:ext uri="{FF2B5EF4-FFF2-40B4-BE49-F238E27FC236}">
              <a16:creationId xmlns:a16="http://schemas.microsoft.com/office/drawing/2014/main" id="{394DC78E-ABB3-488A-AE0A-7F4CD4373067}"/>
            </a:ext>
          </a:extLst>
        </xdr:cNvPr>
        <xdr:cNvSpPr txBox="1"/>
      </xdr:nvSpPr>
      <xdr:spPr>
        <a:xfrm>
          <a:off x="5722620" y="73152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Average</a:t>
          </a:r>
          <a:r>
            <a:rPr lang="en-IN" sz="1100" b="1" i="0" u="none" strike="noStrike">
              <a:solidFill>
                <a:schemeClr val="dk1"/>
              </a:solidFill>
              <a:effectLst/>
              <a:latin typeface="+mn-lt"/>
              <a:ea typeface="+mn-ea"/>
              <a:cs typeface="+mn-cs"/>
            </a:rPr>
            <a:t> order value</a:t>
          </a:r>
          <a:r>
            <a:rPr lang="en-IN" sz="1400">
              <a:effectLst/>
            </a:rPr>
            <a:t> </a:t>
          </a:r>
          <a:r>
            <a:rPr lang="en-IN" sz="1400" b="0" i="0">
              <a:solidFill>
                <a:schemeClr val="dk1"/>
              </a:solidFill>
              <a:effectLst/>
              <a:latin typeface="+mn-lt"/>
              <a:ea typeface="+mn-ea"/>
              <a:cs typeface="+mn-cs"/>
            </a:rPr>
            <a:t>13594 </a:t>
          </a:r>
        </a:p>
      </xdr:txBody>
    </xdr:sp>
    <xdr:clientData/>
  </xdr:twoCellAnchor>
  <xdr:twoCellAnchor>
    <xdr:from>
      <xdr:col>12</xdr:col>
      <xdr:colOff>266700</xdr:colOff>
      <xdr:row>4</xdr:row>
      <xdr:rowOff>0</xdr:rowOff>
    </xdr:from>
    <xdr:to>
      <xdr:col>15</xdr:col>
      <xdr:colOff>228600</xdr:colOff>
      <xdr:row>7</xdr:row>
      <xdr:rowOff>53340</xdr:rowOff>
    </xdr:to>
    <xdr:sp macro="" textlink="">
      <xdr:nvSpPr>
        <xdr:cNvPr id="7" name="TextBox 6">
          <a:extLst>
            <a:ext uri="{FF2B5EF4-FFF2-40B4-BE49-F238E27FC236}">
              <a16:creationId xmlns:a16="http://schemas.microsoft.com/office/drawing/2014/main" id="{0EA5B6AC-76E7-4439-8132-D1C868711CFE}"/>
            </a:ext>
          </a:extLst>
        </xdr:cNvPr>
        <xdr:cNvSpPr txBox="1"/>
      </xdr:nvSpPr>
      <xdr:spPr>
        <a:xfrm>
          <a:off x="7581900" y="731520"/>
          <a:ext cx="1790700" cy="601980"/>
        </a:xfrm>
        <a:prstGeom prst="rect">
          <a:avLst/>
        </a:prstGeom>
        <a:solidFill>
          <a:srgbClr val="6DE1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dk1"/>
              </a:solidFill>
              <a:effectLst/>
              <a:latin typeface="+mn-lt"/>
              <a:ea typeface="+mn-ea"/>
              <a:cs typeface="+mn-cs"/>
            </a:rPr>
            <a:t>Total customer                     </a:t>
          </a:r>
          <a:r>
            <a:rPr lang="en-IN" sz="1400" b="0" i="0">
              <a:solidFill>
                <a:schemeClr val="dk1"/>
              </a:solidFill>
              <a:effectLst/>
              <a:latin typeface="+mn-lt"/>
              <a:ea typeface="+mn-ea"/>
              <a:cs typeface="+mn-cs"/>
            </a:rPr>
            <a:t>97 </a:t>
          </a:r>
        </a:p>
      </xdr:txBody>
    </xdr:sp>
    <xdr:clientData/>
  </xdr:twoCellAnchor>
  <xdr:twoCellAnchor>
    <xdr:from>
      <xdr:col>0</xdr:col>
      <xdr:colOff>251460</xdr:colOff>
      <xdr:row>7</xdr:row>
      <xdr:rowOff>129540</xdr:rowOff>
    </xdr:from>
    <xdr:to>
      <xdr:col>7</xdr:col>
      <xdr:colOff>365760</xdr:colOff>
      <xdr:row>21</xdr:row>
      <xdr:rowOff>99060</xdr:rowOff>
    </xdr:to>
    <xdr:graphicFrame macro="">
      <xdr:nvGraphicFramePr>
        <xdr:cNvPr id="8" name="Chart 7">
          <a:extLst>
            <a:ext uri="{FF2B5EF4-FFF2-40B4-BE49-F238E27FC236}">
              <a16:creationId xmlns:a16="http://schemas.microsoft.com/office/drawing/2014/main" id="{E3218ABE-F402-45F2-ABE8-03B7F60DC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8</xdr:row>
      <xdr:rowOff>15240</xdr:rowOff>
    </xdr:from>
    <xdr:to>
      <xdr:col>15</xdr:col>
      <xdr:colOff>190500</xdr:colOff>
      <xdr:row>21</xdr:row>
      <xdr:rowOff>91440</xdr:rowOff>
    </xdr:to>
    <xdr:graphicFrame macro="">
      <xdr:nvGraphicFramePr>
        <xdr:cNvPr id="9" name="Chart 8">
          <a:extLst>
            <a:ext uri="{FF2B5EF4-FFF2-40B4-BE49-F238E27FC236}">
              <a16:creationId xmlns:a16="http://schemas.microsoft.com/office/drawing/2014/main" id="{BEA0C6D3-7B95-4249-9C2E-70164AA80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251460</xdr:colOff>
      <xdr:row>22</xdr:row>
      <xdr:rowOff>0</xdr:rowOff>
    </xdr:from>
    <xdr:to>
      <xdr:col>7</xdr:col>
      <xdr:colOff>373380</xdr:colOff>
      <xdr:row>36</xdr:row>
      <xdr:rowOff>30480</xdr:rowOff>
    </xdr:to>
    <xdr:graphicFrame macro="">
      <xdr:nvGraphicFramePr>
        <xdr:cNvPr id="10" name="Chart 9">
          <a:extLst>
            <a:ext uri="{FF2B5EF4-FFF2-40B4-BE49-F238E27FC236}">
              <a16:creationId xmlns:a16="http://schemas.microsoft.com/office/drawing/2014/main" id="{D8CAFA3D-75E6-4931-867D-D91E44981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335280</xdr:colOff>
      <xdr:row>3</xdr:row>
      <xdr:rowOff>152400</xdr:rowOff>
    </xdr:from>
    <xdr:to>
      <xdr:col>17</xdr:col>
      <xdr:colOff>403860</xdr:colOff>
      <xdr:row>8</xdr:row>
      <xdr:rowOff>83820</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165591A1-6CE4-47C4-A0D3-9C649CC2CCF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64040" y="701040"/>
              <a:ext cx="1409700" cy="80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327660</xdr:colOff>
      <xdr:row>9</xdr:row>
      <xdr:rowOff>15240</xdr:rowOff>
    </xdr:from>
    <xdr:to>
      <xdr:col>17</xdr:col>
      <xdr:colOff>388620</xdr:colOff>
      <xdr:row>18</xdr:row>
      <xdr:rowOff>0</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29260B80-F1FA-422C-8398-92298D31FA8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56420" y="1661160"/>
              <a:ext cx="140208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320040</xdr:colOff>
      <xdr:row>18</xdr:row>
      <xdr:rowOff>45720</xdr:rowOff>
    </xdr:from>
    <xdr:to>
      <xdr:col>17</xdr:col>
      <xdr:colOff>396240</xdr:colOff>
      <xdr:row>25</xdr:row>
      <xdr:rowOff>45720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35F4CFDC-B994-4E36-A106-5747FF8117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448800" y="3337560"/>
              <a:ext cx="141732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30480</xdr:colOff>
      <xdr:row>22</xdr:row>
      <xdr:rowOff>7620</xdr:rowOff>
    </xdr:from>
    <xdr:to>
      <xdr:col>15</xdr:col>
      <xdr:colOff>160020</xdr:colOff>
      <xdr:row>36</xdr:row>
      <xdr:rowOff>68580</xdr:rowOff>
    </xdr:to>
    <xdr:graphicFrame macro="">
      <xdr:nvGraphicFramePr>
        <xdr:cNvPr id="2" name="Chart 1">
          <a:extLst>
            <a:ext uri="{FF2B5EF4-FFF2-40B4-BE49-F238E27FC236}">
              <a16:creationId xmlns:a16="http://schemas.microsoft.com/office/drawing/2014/main" id="{CE592F59-CB31-488F-8B47-8C0E97716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ATHA" refreshedDate="46049.18747164352" backgroundQuery="1" createdVersion="8" refreshedVersion="8" minRefreshableVersion="3" recordCount="0" supportSubquery="1" supportAdvancedDrill="1" xr:uid="{70414ED0-B5D7-4BEB-A2DF-16D74300EA1A}">
  <cacheSource type="external" connectionId="1"/>
  <cacheFields count="5">
    <cacheField name="[Measures].[Sum of Sales_Amount]" caption="Sum of Sales_Amount" numFmtId="0" hierarchy="15" level="32767"/>
    <cacheField name="[Measures].[Count of Order_ID]" caption="Count of Order_ID" numFmtId="0" hierarchy="17" level="32767"/>
    <cacheField name="[Measures].[Sum of Quantity 2]" caption="Sum of Quantity 2" numFmtId="0" hierarchy="19" level="32767"/>
    <cacheField name="[Measures].[Distinct Count of Customer_ID 2]" caption="Distinct Count of Customer_ID 2" numFmtId="0" hierarchy="20" level="32767"/>
    <cacheField name="[Measures].[Average of Sales_Amount 2]" caption="Average of Sales_Amount 2" numFmtId="0" hierarchy="21" level="32767"/>
  </cacheFields>
  <cacheHierarchies count="22">
    <cacheHierarchy uniqueName="[Sales_Data].[Order_ID]" caption="Order_ID" attribute="1" defaultMemberUniqueName="[Sales_Data].[Order_ID].[All]" allUniqueName="[Sales_Data].[Order_ID].[All]" dimensionUniqueName="[Sales_Data]" displayFolder="" count="0" memberValueDatatype="2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Month_Year]" caption="Month_Year" attribute="1" defaultMemberUniqueName="[Sales_Data].[Month_Year].[All]" allUniqueName="[Sales_Data].[Month_Year].[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_Price]" caption="Unit_Price" attribute="1" defaultMemberUniqueName="[Sales_Data].[Unit_Price].[All]" allUniqueName="[Sales_Data].[Unit_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_Amount]" caption="Sales_Amount" attribute="1" defaultMemberUniqueName="[Sales_Data].[Sales_Amount].[All]" allUniqueName="[Sales_Data].[Sales_Amount].[All]" dimensionUniqueName="[Sales_Data]" displayFolder="" count="0" memberValueDatatype="5"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Sales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Sales_Data"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Sales_Data" count="0" oneField="1" hidden="1">
      <fieldsUsage count="1">
        <fieldUsage x="2"/>
      </fieldsUsage>
      <extLst>
        <ext xmlns:x15="http://schemas.microsoft.com/office/spreadsheetml/2010/11/main" uri="{B97F6D7D-B522-45F9-BDA1-12C45D357490}">
          <x15:cacheHierarchy aggregatedColumn="8"/>
        </ext>
      </extLst>
    </cacheHierarchy>
    <cacheHierarchy uniqueName="[Measures].[Distinct Count of Customer_ID 2]" caption="Distinct Count of Customer_ID 2" measure="1" displayFolder="" measureGroup="Sales_Data" count="0" oneField="1" hidden="1">
      <fieldsUsage count="1">
        <fieldUsage x="3"/>
      </fieldsUsage>
      <extLst>
        <ext xmlns:x15="http://schemas.microsoft.com/office/spreadsheetml/2010/11/main" uri="{B97F6D7D-B522-45F9-BDA1-12C45D357490}">
          <x15:cacheHierarchy aggregatedColumn="12"/>
        </ext>
      </extLst>
    </cacheHierarchy>
    <cacheHierarchy uniqueName="[Measures].[Average of Sales_Amount 2]" caption="Average of Sales_Amount 2" measure="1" displayFolder="" measureGroup="Sales_Data" count="0" oneField="1" hidden="1">
      <fieldsUsage count="1">
        <fieldUsage x="4"/>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ATHA" refreshedDate="46049.197104861109" backgroundQuery="1" createdVersion="8" refreshedVersion="8" minRefreshableVersion="3" recordCount="0" supportSubquery="1" supportAdvancedDrill="1" xr:uid="{332A8F33-E279-47CF-96A1-C8F4744257C6}">
  <cacheSource type="external" connectionId="1"/>
  <cacheFields count="2">
    <cacheField name="[Sales_Data].[Region].[Region]" caption="Region" numFmtId="0" hierarchy="5" level="1">
      <sharedItems count="4">
        <s v="East"/>
        <s v="North"/>
        <s v="South"/>
        <s v="West"/>
      </sharedItems>
    </cacheField>
    <cacheField name="[Measures].[Sum of Sales_Amount]" caption="Sum of Sales_Amount" numFmtId="0" hierarchy="15" level="32767"/>
  </cacheFields>
  <cacheHierarchies count="22">
    <cacheHierarchy uniqueName="[Sales_Data].[Order_ID]" caption="Order_ID" attribute="1" defaultMemberUniqueName="[Sales_Data].[Order_ID].[All]" allUniqueName="[Sales_Data].[Order_ID].[All]" dimensionUniqueName="[Sales_Data]" displayFolder="" count="0" memberValueDatatype="2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Month_Year]" caption="Month_Year" attribute="1" defaultMemberUniqueName="[Sales_Data].[Month_Year].[All]" allUniqueName="[Sales_Data].[Month_Year].[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Category]" caption="Category" attribute="1" defaultMemberUniqueName="[Sales_Data].[Category].[All]" allUniqueName="[Sales_Data].[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_Price]" caption="Unit_Price" attribute="1" defaultMemberUniqueName="[Sales_Data].[Unit_Price].[All]" allUniqueName="[Sales_Data].[Unit_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_Amount]" caption="Sales_Amount" attribute="1" defaultMemberUniqueName="[Sales_Data].[Sales_Amount].[All]" allUniqueName="[Sales_Data].[Sales_Amount].[All]" dimensionUniqueName="[Sales_Data]" displayFolder="" count="0" memberValueDatatype="5"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Sales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Sales_Data"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Sales_Data" count="0" hidden="1">
      <extLst>
        <ext xmlns:x15="http://schemas.microsoft.com/office/spreadsheetml/2010/11/main" uri="{B97F6D7D-B522-45F9-BDA1-12C45D357490}">
          <x15:cacheHierarchy aggregatedColumn="8"/>
        </ext>
      </extLst>
    </cacheHierarchy>
    <cacheHierarchy uniqueName="[Measures].[Distinct Count of Customer_ID 2]" caption="Distinct Count of Customer_ID 2" measure="1" displayFolder="" measureGroup="Sales_Data" count="0" hidden="1">
      <extLst>
        <ext xmlns:x15="http://schemas.microsoft.com/office/spreadsheetml/2010/11/main" uri="{B97F6D7D-B522-45F9-BDA1-12C45D357490}">
          <x15:cacheHierarchy aggregatedColumn="12"/>
        </ext>
      </extLst>
    </cacheHierarchy>
    <cacheHierarchy uniqueName="[Measures].[Average of Sales_Amount 2]" caption="Average of Sales_Amount 2" measure="1" displayFolder="" measureGroup="Sales_D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MATHA" refreshedDate="46049.197853472222" createdVersion="8" refreshedVersion="8" minRefreshableVersion="3" recordCount="300" xr:uid="{51C8A2A1-6B6D-49C5-9556-A8EA5E8876CF}">
  <cacheSource type="worksheet">
    <worksheetSource name="Sales_Data"/>
  </cacheSource>
  <cacheFields count="13">
    <cacheField name="Order_ID" numFmtId="0">
      <sharedItems containsSemiMixedTypes="0" containsString="0" containsNumber="1" containsInteger="1" minValue="1" maxValue="300"/>
    </cacheField>
    <cacheField name="Order_Date" numFmtId="164">
      <sharedItems containsSemiMixedTypes="0" containsNonDate="0" containsDate="1" containsString="0" minDate="2024-01-01T00:00:00" maxDate="2024-06-30T00:00:00"/>
    </cacheField>
    <cacheField name="Month_Year" numFmtId="164">
      <sharedItems count="6">
        <s v="Feb-2024"/>
        <s v="Jan-2024"/>
        <s v="Mar-2024"/>
        <s v="Apr-2024"/>
        <s v="Jun-2024"/>
        <s v="May-2024"/>
      </sharedItems>
    </cacheField>
    <cacheField name="Year" numFmtId="164">
      <sharedItems count="1">
        <s v="2024"/>
      </sharedItems>
    </cacheField>
    <cacheField name="Month" numFmtId="164">
      <sharedItems/>
    </cacheField>
    <cacheField name="Region" numFmtId="0">
      <sharedItems count="4">
        <s v="South"/>
        <s v="North"/>
        <s v="West"/>
        <s v="East"/>
      </sharedItems>
    </cacheField>
    <cacheField name="Category" numFmtId="0">
      <sharedItems count="3">
        <s v="Office Supplies"/>
        <s v="Electronics"/>
        <s v="Furniture"/>
      </sharedItems>
    </cacheField>
    <cacheField name="Product" numFmtId="0">
      <sharedItems count="10">
        <s v="Pen"/>
        <s v="Laptop"/>
        <s v="Chair"/>
        <s v="Bookcase"/>
        <s v="Table"/>
        <s v="Notebook"/>
        <s v="Stapler"/>
        <s v="Mouse"/>
        <s v="Keyboard"/>
        <s v="Monitor"/>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42" maxValue="4994"/>
    </cacheField>
    <cacheField name="Discount" numFmtId="0">
      <sharedItems containsSemiMixedTypes="0" containsString="0" containsNumber="1" minValue="0" maxValue="0.15"/>
    </cacheField>
    <cacheField name="Sales_Amount" numFmtId="0">
      <sharedItems containsSemiMixedTypes="0" containsString="0" containsNumber="1" minValue="404.7" maxValue="41125.5"/>
    </cacheField>
    <cacheField name="Customer_ID" numFmtId="0">
      <sharedItems containsSemiMixedTypes="0" containsString="0" containsNumber="1" containsInteger="1" minValue="1000" maxValue="1100"/>
    </cacheField>
  </cacheFields>
  <extLst>
    <ext xmlns:x14="http://schemas.microsoft.com/office/spreadsheetml/2009/9/main" uri="{725AE2AE-9491-48be-B2B4-4EB974FC3084}">
      <x14:pivotCacheDefinition pivotCacheId="44373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d v="2024-02-27T00:00:00"/>
    <x v="0"/>
    <x v="0"/>
    <s v="Feb"/>
    <x v="0"/>
    <x v="0"/>
    <x v="0"/>
    <n v="1"/>
    <n v="2353"/>
    <n v="0.05"/>
    <n v="2235.35"/>
    <n v="1094"/>
  </r>
  <r>
    <n v="2"/>
    <d v="2024-01-08T00:00:00"/>
    <x v="1"/>
    <x v="0"/>
    <s v="Jan"/>
    <x v="1"/>
    <x v="1"/>
    <x v="1"/>
    <n v="10"/>
    <n v="3556"/>
    <n v="0"/>
    <n v="35560"/>
    <n v="1027"/>
  </r>
  <r>
    <n v="3"/>
    <d v="2024-02-26T00:00:00"/>
    <x v="0"/>
    <x v="0"/>
    <s v="Feb"/>
    <x v="2"/>
    <x v="1"/>
    <x v="1"/>
    <n v="9"/>
    <n v="1728"/>
    <n v="0.15"/>
    <n v="13219.2"/>
    <n v="1075"/>
  </r>
  <r>
    <n v="4"/>
    <d v="2024-03-12T00:00:00"/>
    <x v="2"/>
    <x v="0"/>
    <s v="Mar"/>
    <x v="0"/>
    <x v="2"/>
    <x v="2"/>
    <n v="3"/>
    <n v="3562"/>
    <n v="0.1"/>
    <n v="9617.4"/>
    <n v="1027"/>
  </r>
  <r>
    <n v="5"/>
    <d v="2024-04-01T00:00:00"/>
    <x v="3"/>
    <x v="0"/>
    <s v="Apr"/>
    <x v="3"/>
    <x v="2"/>
    <x v="2"/>
    <n v="2"/>
    <n v="3212"/>
    <n v="0"/>
    <n v="6424"/>
    <n v="1077"/>
  </r>
  <r>
    <n v="6"/>
    <d v="2024-04-06T00:00:00"/>
    <x v="3"/>
    <x v="0"/>
    <s v="Apr"/>
    <x v="1"/>
    <x v="2"/>
    <x v="2"/>
    <n v="8"/>
    <n v="4492"/>
    <n v="0"/>
    <n v="35936"/>
    <n v="1070"/>
  </r>
  <r>
    <n v="7"/>
    <d v="2024-06-29T00:00:00"/>
    <x v="4"/>
    <x v="0"/>
    <s v="Jun"/>
    <x v="1"/>
    <x v="2"/>
    <x v="3"/>
    <n v="10"/>
    <n v="3062"/>
    <n v="0.05"/>
    <n v="29089"/>
    <n v="1005"/>
  </r>
  <r>
    <n v="8"/>
    <d v="2024-01-26T00:00:00"/>
    <x v="1"/>
    <x v="0"/>
    <s v="Jan"/>
    <x v="2"/>
    <x v="0"/>
    <x v="0"/>
    <n v="5"/>
    <n v="753"/>
    <n v="0.05"/>
    <n v="3576.75"/>
    <n v="1035"/>
  </r>
  <r>
    <n v="9"/>
    <d v="2024-03-31T00:00:00"/>
    <x v="2"/>
    <x v="0"/>
    <s v="Mar"/>
    <x v="0"/>
    <x v="2"/>
    <x v="3"/>
    <n v="6"/>
    <n v="1432"/>
    <n v="0.1"/>
    <n v="7732.8"/>
    <n v="1085"/>
  </r>
  <r>
    <n v="10"/>
    <d v="2024-02-11T00:00:00"/>
    <x v="0"/>
    <x v="0"/>
    <s v="Feb"/>
    <x v="2"/>
    <x v="2"/>
    <x v="3"/>
    <n v="2"/>
    <n v="1501"/>
    <n v="0.05"/>
    <n v="2851.9"/>
    <n v="1048"/>
  </r>
  <r>
    <n v="11"/>
    <d v="2024-01-15T00:00:00"/>
    <x v="1"/>
    <x v="0"/>
    <s v="Jan"/>
    <x v="0"/>
    <x v="2"/>
    <x v="3"/>
    <n v="9"/>
    <n v="1899"/>
    <n v="0.1"/>
    <n v="15381.9"/>
    <n v="1004"/>
  </r>
  <r>
    <n v="12"/>
    <d v="2024-05-25T00:00:00"/>
    <x v="5"/>
    <x v="0"/>
    <s v="May"/>
    <x v="3"/>
    <x v="2"/>
    <x v="4"/>
    <n v="5"/>
    <n v="642"/>
    <n v="0.05"/>
    <n v="3049.5"/>
    <n v="1027"/>
  </r>
  <r>
    <n v="13"/>
    <d v="2024-03-08T00:00:00"/>
    <x v="2"/>
    <x v="0"/>
    <s v="Mar"/>
    <x v="0"/>
    <x v="0"/>
    <x v="5"/>
    <n v="7"/>
    <n v="3858"/>
    <n v="0.05"/>
    <n v="25655.7"/>
    <n v="1031"/>
  </r>
  <r>
    <n v="14"/>
    <d v="2024-05-29T00:00:00"/>
    <x v="5"/>
    <x v="0"/>
    <s v="May"/>
    <x v="2"/>
    <x v="0"/>
    <x v="6"/>
    <n v="9"/>
    <n v="2252"/>
    <n v="0.15"/>
    <n v="17227.8"/>
    <n v="1046"/>
  </r>
  <r>
    <n v="15"/>
    <d v="2024-01-13T00:00:00"/>
    <x v="1"/>
    <x v="0"/>
    <s v="Jan"/>
    <x v="1"/>
    <x v="1"/>
    <x v="7"/>
    <n v="9"/>
    <n v="4142"/>
    <n v="0"/>
    <n v="37278"/>
    <n v="1019"/>
  </r>
  <r>
    <n v="16"/>
    <d v="2024-04-08T00:00:00"/>
    <x v="3"/>
    <x v="0"/>
    <s v="Apr"/>
    <x v="2"/>
    <x v="0"/>
    <x v="0"/>
    <n v="7"/>
    <n v="4985"/>
    <n v="0"/>
    <n v="34895"/>
    <n v="1076"/>
  </r>
  <r>
    <n v="17"/>
    <d v="2024-06-23T00:00:00"/>
    <x v="4"/>
    <x v="0"/>
    <s v="Jun"/>
    <x v="1"/>
    <x v="2"/>
    <x v="3"/>
    <n v="5"/>
    <n v="4632"/>
    <n v="0"/>
    <n v="23160"/>
    <n v="1087"/>
  </r>
  <r>
    <n v="18"/>
    <d v="2024-04-21T00:00:00"/>
    <x v="3"/>
    <x v="0"/>
    <s v="Apr"/>
    <x v="0"/>
    <x v="0"/>
    <x v="5"/>
    <n v="6"/>
    <n v="1013"/>
    <n v="0.1"/>
    <n v="5470.2"/>
    <n v="1058"/>
  </r>
  <r>
    <n v="19"/>
    <d v="2024-06-09T00:00:00"/>
    <x v="4"/>
    <x v="0"/>
    <s v="Jun"/>
    <x v="3"/>
    <x v="1"/>
    <x v="8"/>
    <n v="9"/>
    <n v="1563"/>
    <n v="0"/>
    <n v="14067"/>
    <n v="1081"/>
  </r>
  <r>
    <n v="20"/>
    <d v="2024-02-11T00:00:00"/>
    <x v="0"/>
    <x v="0"/>
    <s v="Feb"/>
    <x v="1"/>
    <x v="0"/>
    <x v="6"/>
    <n v="4"/>
    <n v="1352"/>
    <n v="0.1"/>
    <n v="4867.2"/>
    <n v="1076"/>
  </r>
  <r>
    <n v="21"/>
    <d v="2024-03-19T00:00:00"/>
    <x v="2"/>
    <x v="0"/>
    <s v="Mar"/>
    <x v="0"/>
    <x v="2"/>
    <x v="4"/>
    <n v="1"/>
    <n v="1016"/>
    <n v="0.1"/>
    <n v="914.4"/>
    <n v="1007"/>
  </r>
  <r>
    <n v="22"/>
    <d v="2024-05-16T00:00:00"/>
    <x v="5"/>
    <x v="0"/>
    <s v="May"/>
    <x v="0"/>
    <x v="1"/>
    <x v="1"/>
    <n v="2"/>
    <n v="4081"/>
    <n v="0"/>
    <n v="8162"/>
    <n v="1016"/>
  </r>
  <r>
    <n v="23"/>
    <d v="2024-05-15T00:00:00"/>
    <x v="5"/>
    <x v="0"/>
    <s v="May"/>
    <x v="2"/>
    <x v="0"/>
    <x v="5"/>
    <n v="9"/>
    <n v="1452"/>
    <n v="0.1"/>
    <n v="11761.2"/>
    <n v="1027"/>
  </r>
  <r>
    <n v="24"/>
    <d v="2024-06-20T00:00:00"/>
    <x v="4"/>
    <x v="0"/>
    <s v="Jun"/>
    <x v="3"/>
    <x v="0"/>
    <x v="6"/>
    <n v="4"/>
    <n v="2653"/>
    <n v="0.15"/>
    <n v="9020.2000000000007"/>
    <n v="1056"/>
  </r>
  <r>
    <n v="25"/>
    <d v="2024-01-17T00:00:00"/>
    <x v="1"/>
    <x v="0"/>
    <s v="Jan"/>
    <x v="3"/>
    <x v="0"/>
    <x v="5"/>
    <n v="2"/>
    <n v="2130"/>
    <n v="0.05"/>
    <n v="4047"/>
    <n v="1002"/>
  </r>
  <r>
    <n v="26"/>
    <d v="2024-01-02T00:00:00"/>
    <x v="1"/>
    <x v="0"/>
    <s v="Jan"/>
    <x v="1"/>
    <x v="0"/>
    <x v="6"/>
    <n v="4"/>
    <n v="4920"/>
    <n v="0.05"/>
    <n v="18696"/>
    <n v="1090"/>
  </r>
  <r>
    <n v="27"/>
    <d v="2024-03-25T00:00:00"/>
    <x v="2"/>
    <x v="0"/>
    <s v="Mar"/>
    <x v="1"/>
    <x v="0"/>
    <x v="0"/>
    <n v="4"/>
    <n v="652"/>
    <n v="0"/>
    <n v="2608"/>
    <n v="1065"/>
  </r>
  <r>
    <n v="28"/>
    <d v="2024-05-26T00:00:00"/>
    <x v="5"/>
    <x v="0"/>
    <s v="May"/>
    <x v="2"/>
    <x v="1"/>
    <x v="8"/>
    <n v="8"/>
    <n v="1855"/>
    <n v="0.05"/>
    <n v="14098"/>
    <n v="1031"/>
  </r>
  <r>
    <n v="29"/>
    <d v="2024-06-17T00:00:00"/>
    <x v="4"/>
    <x v="0"/>
    <s v="Jun"/>
    <x v="2"/>
    <x v="2"/>
    <x v="4"/>
    <n v="4"/>
    <n v="872"/>
    <n v="0"/>
    <n v="3488"/>
    <n v="1045"/>
  </r>
  <r>
    <n v="30"/>
    <d v="2024-01-16T00:00:00"/>
    <x v="1"/>
    <x v="0"/>
    <s v="Jan"/>
    <x v="2"/>
    <x v="2"/>
    <x v="4"/>
    <n v="8"/>
    <n v="543"/>
    <n v="0"/>
    <n v="4344"/>
    <n v="1093"/>
  </r>
  <r>
    <n v="31"/>
    <d v="2024-05-17T00:00:00"/>
    <x v="5"/>
    <x v="0"/>
    <s v="May"/>
    <x v="2"/>
    <x v="2"/>
    <x v="2"/>
    <n v="4"/>
    <n v="1669"/>
    <n v="0.05"/>
    <n v="6342.2"/>
    <n v="1017"/>
  </r>
  <r>
    <n v="32"/>
    <d v="2024-01-20T00:00:00"/>
    <x v="1"/>
    <x v="0"/>
    <s v="Jan"/>
    <x v="2"/>
    <x v="2"/>
    <x v="2"/>
    <n v="5"/>
    <n v="3889"/>
    <n v="0.05"/>
    <n v="18472.75"/>
    <n v="1070"/>
  </r>
  <r>
    <n v="33"/>
    <d v="2024-03-01T00:00:00"/>
    <x v="2"/>
    <x v="0"/>
    <s v="Mar"/>
    <x v="0"/>
    <x v="1"/>
    <x v="1"/>
    <n v="9"/>
    <n v="220"/>
    <n v="0"/>
    <n v="1980"/>
    <n v="1052"/>
  </r>
  <r>
    <n v="34"/>
    <d v="2024-02-12T00:00:00"/>
    <x v="0"/>
    <x v="0"/>
    <s v="Feb"/>
    <x v="2"/>
    <x v="2"/>
    <x v="4"/>
    <n v="4"/>
    <n v="3385"/>
    <n v="0"/>
    <n v="13540"/>
    <n v="1000"/>
  </r>
  <r>
    <n v="35"/>
    <d v="2024-06-27T00:00:00"/>
    <x v="4"/>
    <x v="0"/>
    <s v="Jun"/>
    <x v="2"/>
    <x v="2"/>
    <x v="4"/>
    <n v="8"/>
    <n v="2436"/>
    <n v="0.15"/>
    <n v="16564.8"/>
    <n v="1019"/>
  </r>
  <r>
    <n v="36"/>
    <d v="2024-03-21T00:00:00"/>
    <x v="2"/>
    <x v="0"/>
    <s v="Mar"/>
    <x v="1"/>
    <x v="1"/>
    <x v="8"/>
    <n v="4"/>
    <n v="579"/>
    <n v="0"/>
    <n v="2316"/>
    <n v="1006"/>
  </r>
  <r>
    <n v="37"/>
    <d v="2024-01-15T00:00:00"/>
    <x v="1"/>
    <x v="0"/>
    <s v="Jan"/>
    <x v="1"/>
    <x v="0"/>
    <x v="5"/>
    <n v="9"/>
    <n v="4450"/>
    <n v="0.05"/>
    <n v="38047.5"/>
    <n v="1023"/>
  </r>
  <r>
    <n v="38"/>
    <d v="2024-05-25T00:00:00"/>
    <x v="5"/>
    <x v="0"/>
    <s v="May"/>
    <x v="0"/>
    <x v="1"/>
    <x v="1"/>
    <n v="4"/>
    <n v="3407"/>
    <n v="0"/>
    <n v="13628"/>
    <n v="1074"/>
  </r>
  <r>
    <n v="39"/>
    <d v="2024-06-17T00:00:00"/>
    <x v="4"/>
    <x v="0"/>
    <s v="Jun"/>
    <x v="3"/>
    <x v="0"/>
    <x v="0"/>
    <n v="10"/>
    <n v="771"/>
    <n v="0.15"/>
    <n v="6553.5"/>
    <n v="1033"/>
  </r>
  <r>
    <n v="40"/>
    <d v="2024-02-03T00:00:00"/>
    <x v="0"/>
    <x v="0"/>
    <s v="Feb"/>
    <x v="3"/>
    <x v="1"/>
    <x v="8"/>
    <n v="4"/>
    <n v="2275"/>
    <n v="0.15"/>
    <n v="7735"/>
    <n v="1058"/>
  </r>
  <r>
    <n v="41"/>
    <d v="2024-01-19T00:00:00"/>
    <x v="1"/>
    <x v="0"/>
    <s v="Jan"/>
    <x v="0"/>
    <x v="2"/>
    <x v="2"/>
    <n v="1"/>
    <n v="3854"/>
    <n v="0"/>
    <n v="3854"/>
    <n v="1064"/>
  </r>
  <r>
    <n v="42"/>
    <d v="2024-04-04T00:00:00"/>
    <x v="3"/>
    <x v="0"/>
    <s v="Apr"/>
    <x v="3"/>
    <x v="2"/>
    <x v="2"/>
    <n v="6"/>
    <n v="663"/>
    <n v="0.05"/>
    <n v="3779.1"/>
    <n v="1020"/>
  </r>
  <r>
    <n v="43"/>
    <d v="2024-06-19T00:00:00"/>
    <x v="4"/>
    <x v="0"/>
    <s v="Jun"/>
    <x v="3"/>
    <x v="2"/>
    <x v="3"/>
    <n v="5"/>
    <n v="4433"/>
    <n v="0"/>
    <n v="22165"/>
    <n v="1084"/>
  </r>
  <r>
    <n v="44"/>
    <d v="2024-05-21T00:00:00"/>
    <x v="5"/>
    <x v="0"/>
    <s v="May"/>
    <x v="0"/>
    <x v="1"/>
    <x v="7"/>
    <n v="5"/>
    <n v="1045"/>
    <n v="0"/>
    <n v="5225"/>
    <n v="1034"/>
  </r>
  <r>
    <n v="45"/>
    <d v="2024-06-24T00:00:00"/>
    <x v="4"/>
    <x v="0"/>
    <s v="Jun"/>
    <x v="3"/>
    <x v="2"/>
    <x v="3"/>
    <n v="4"/>
    <n v="2908"/>
    <n v="0.05"/>
    <n v="11050.4"/>
    <n v="1064"/>
  </r>
  <r>
    <n v="46"/>
    <d v="2024-03-11T00:00:00"/>
    <x v="2"/>
    <x v="0"/>
    <s v="Mar"/>
    <x v="1"/>
    <x v="2"/>
    <x v="4"/>
    <n v="1"/>
    <n v="856"/>
    <n v="0.15"/>
    <n v="727.6"/>
    <n v="1000"/>
  </r>
  <r>
    <n v="47"/>
    <d v="2024-05-21T00:00:00"/>
    <x v="5"/>
    <x v="0"/>
    <s v="May"/>
    <x v="2"/>
    <x v="2"/>
    <x v="2"/>
    <n v="5"/>
    <n v="1423"/>
    <n v="0.15"/>
    <n v="6047.75"/>
    <n v="1071"/>
  </r>
  <r>
    <n v="48"/>
    <d v="2024-04-04T00:00:00"/>
    <x v="3"/>
    <x v="0"/>
    <s v="Apr"/>
    <x v="0"/>
    <x v="1"/>
    <x v="1"/>
    <n v="2"/>
    <n v="1321"/>
    <n v="0"/>
    <n v="2642"/>
    <n v="1055"/>
  </r>
  <r>
    <n v="49"/>
    <d v="2024-04-01T00:00:00"/>
    <x v="3"/>
    <x v="0"/>
    <s v="Apr"/>
    <x v="0"/>
    <x v="1"/>
    <x v="1"/>
    <n v="5"/>
    <n v="3087"/>
    <n v="0"/>
    <n v="15435"/>
    <n v="1087"/>
  </r>
  <r>
    <n v="50"/>
    <d v="2024-06-07T00:00:00"/>
    <x v="4"/>
    <x v="0"/>
    <s v="Jun"/>
    <x v="0"/>
    <x v="1"/>
    <x v="1"/>
    <n v="6"/>
    <n v="4686"/>
    <n v="0.15"/>
    <n v="23898.6"/>
    <n v="1030"/>
  </r>
  <r>
    <n v="51"/>
    <d v="2024-03-26T00:00:00"/>
    <x v="2"/>
    <x v="0"/>
    <s v="Mar"/>
    <x v="2"/>
    <x v="1"/>
    <x v="7"/>
    <n v="7"/>
    <n v="303"/>
    <n v="0.05"/>
    <n v="2014.95"/>
    <n v="1085"/>
  </r>
  <r>
    <n v="52"/>
    <d v="2024-04-07T00:00:00"/>
    <x v="3"/>
    <x v="0"/>
    <s v="Apr"/>
    <x v="1"/>
    <x v="0"/>
    <x v="0"/>
    <n v="5"/>
    <n v="1404"/>
    <n v="0"/>
    <n v="7020"/>
    <n v="1060"/>
  </r>
  <r>
    <n v="53"/>
    <d v="2024-02-28T00:00:00"/>
    <x v="0"/>
    <x v="0"/>
    <s v="Feb"/>
    <x v="0"/>
    <x v="1"/>
    <x v="7"/>
    <n v="8"/>
    <n v="2964"/>
    <n v="0.1"/>
    <n v="21340.799999999999"/>
    <n v="1003"/>
  </r>
  <r>
    <n v="54"/>
    <d v="2024-01-18T00:00:00"/>
    <x v="1"/>
    <x v="0"/>
    <s v="Jan"/>
    <x v="3"/>
    <x v="0"/>
    <x v="0"/>
    <n v="7"/>
    <n v="2789"/>
    <n v="0.1"/>
    <n v="17570.7"/>
    <n v="1044"/>
  </r>
  <r>
    <n v="55"/>
    <d v="2024-01-08T00:00:00"/>
    <x v="1"/>
    <x v="0"/>
    <s v="Jan"/>
    <x v="1"/>
    <x v="0"/>
    <x v="6"/>
    <n v="7"/>
    <n v="4492"/>
    <n v="0.1"/>
    <n v="28299.599999999999"/>
    <n v="1033"/>
  </r>
  <r>
    <n v="56"/>
    <d v="2024-03-29T00:00:00"/>
    <x v="2"/>
    <x v="0"/>
    <s v="Mar"/>
    <x v="3"/>
    <x v="1"/>
    <x v="8"/>
    <n v="1"/>
    <n v="988"/>
    <n v="0.15"/>
    <n v="839.8"/>
    <n v="1055"/>
  </r>
  <r>
    <n v="57"/>
    <d v="2024-03-06T00:00:00"/>
    <x v="2"/>
    <x v="0"/>
    <s v="Mar"/>
    <x v="1"/>
    <x v="0"/>
    <x v="6"/>
    <n v="2"/>
    <n v="3255"/>
    <n v="0.05"/>
    <n v="6184.5"/>
    <n v="1090"/>
  </r>
  <r>
    <n v="58"/>
    <d v="2024-04-03T00:00:00"/>
    <x v="3"/>
    <x v="0"/>
    <s v="Apr"/>
    <x v="2"/>
    <x v="2"/>
    <x v="2"/>
    <n v="9"/>
    <n v="4510"/>
    <n v="0.05"/>
    <n v="38560.5"/>
    <n v="1008"/>
  </r>
  <r>
    <n v="59"/>
    <d v="2024-03-17T00:00:00"/>
    <x v="2"/>
    <x v="0"/>
    <s v="Mar"/>
    <x v="3"/>
    <x v="0"/>
    <x v="5"/>
    <n v="10"/>
    <n v="2671"/>
    <n v="0"/>
    <n v="26710"/>
    <n v="1085"/>
  </r>
  <r>
    <n v="60"/>
    <d v="2024-02-19T00:00:00"/>
    <x v="0"/>
    <x v="0"/>
    <s v="Feb"/>
    <x v="2"/>
    <x v="2"/>
    <x v="4"/>
    <n v="7"/>
    <n v="2522"/>
    <n v="0.05"/>
    <n v="16771.3"/>
    <n v="1085"/>
  </r>
  <r>
    <n v="61"/>
    <d v="2024-04-13T00:00:00"/>
    <x v="3"/>
    <x v="0"/>
    <s v="Apr"/>
    <x v="1"/>
    <x v="2"/>
    <x v="3"/>
    <n v="3"/>
    <n v="4762"/>
    <n v="0.1"/>
    <n v="12857.4"/>
    <n v="1038"/>
  </r>
  <r>
    <n v="62"/>
    <d v="2024-04-29T00:00:00"/>
    <x v="3"/>
    <x v="0"/>
    <s v="Apr"/>
    <x v="2"/>
    <x v="2"/>
    <x v="2"/>
    <n v="7"/>
    <n v="4851"/>
    <n v="0.1"/>
    <n v="30561.3"/>
    <n v="1056"/>
  </r>
  <r>
    <n v="63"/>
    <d v="2024-06-17T00:00:00"/>
    <x v="4"/>
    <x v="0"/>
    <s v="Jun"/>
    <x v="1"/>
    <x v="0"/>
    <x v="0"/>
    <n v="9"/>
    <n v="3976"/>
    <n v="0.05"/>
    <n v="33994.800000000003"/>
    <n v="1036"/>
  </r>
  <r>
    <n v="64"/>
    <d v="2024-03-01T00:00:00"/>
    <x v="2"/>
    <x v="0"/>
    <s v="Mar"/>
    <x v="3"/>
    <x v="0"/>
    <x v="6"/>
    <n v="10"/>
    <n v="2845"/>
    <n v="0"/>
    <n v="28450"/>
    <n v="1028"/>
  </r>
  <r>
    <n v="65"/>
    <d v="2024-05-01T00:00:00"/>
    <x v="5"/>
    <x v="0"/>
    <s v="May"/>
    <x v="1"/>
    <x v="1"/>
    <x v="7"/>
    <n v="1"/>
    <n v="478"/>
    <n v="0.05"/>
    <n v="454.1"/>
    <n v="1058"/>
  </r>
  <r>
    <n v="66"/>
    <d v="2024-05-06T00:00:00"/>
    <x v="5"/>
    <x v="0"/>
    <s v="May"/>
    <x v="2"/>
    <x v="2"/>
    <x v="3"/>
    <n v="10"/>
    <n v="1692"/>
    <n v="0.15"/>
    <n v="14382"/>
    <n v="1031"/>
  </r>
  <r>
    <n v="67"/>
    <d v="2024-02-15T00:00:00"/>
    <x v="0"/>
    <x v="0"/>
    <s v="Feb"/>
    <x v="2"/>
    <x v="1"/>
    <x v="1"/>
    <n v="2"/>
    <n v="3582"/>
    <n v="0.05"/>
    <n v="6805.8"/>
    <n v="1006"/>
  </r>
  <r>
    <n v="68"/>
    <d v="2024-04-28T00:00:00"/>
    <x v="3"/>
    <x v="0"/>
    <s v="Apr"/>
    <x v="3"/>
    <x v="0"/>
    <x v="0"/>
    <n v="2"/>
    <n v="3839"/>
    <n v="0.05"/>
    <n v="7294.1"/>
    <n v="1096"/>
  </r>
  <r>
    <n v="69"/>
    <d v="2024-02-10T00:00:00"/>
    <x v="0"/>
    <x v="0"/>
    <s v="Feb"/>
    <x v="2"/>
    <x v="2"/>
    <x v="3"/>
    <n v="9"/>
    <n v="3595"/>
    <n v="0.15"/>
    <n v="27501.75"/>
    <n v="1057"/>
  </r>
  <r>
    <n v="70"/>
    <d v="2024-06-09T00:00:00"/>
    <x v="4"/>
    <x v="0"/>
    <s v="Jun"/>
    <x v="0"/>
    <x v="2"/>
    <x v="2"/>
    <n v="5"/>
    <n v="4370"/>
    <n v="0.15"/>
    <n v="18572.5"/>
    <n v="1035"/>
  </r>
  <r>
    <n v="71"/>
    <d v="2024-03-26T00:00:00"/>
    <x v="2"/>
    <x v="0"/>
    <s v="Mar"/>
    <x v="3"/>
    <x v="2"/>
    <x v="2"/>
    <n v="5"/>
    <n v="2020"/>
    <n v="0.1"/>
    <n v="9090"/>
    <n v="1069"/>
  </r>
  <r>
    <n v="72"/>
    <d v="2024-06-26T00:00:00"/>
    <x v="4"/>
    <x v="0"/>
    <s v="Jun"/>
    <x v="0"/>
    <x v="1"/>
    <x v="7"/>
    <n v="3"/>
    <n v="1994"/>
    <n v="0.15"/>
    <n v="5084.7"/>
    <n v="1090"/>
  </r>
  <r>
    <n v="73"/>
    <d v="2024-05-18T00:00:00"/>
    <x v="5"/>
    <x v="0"/>
    <s v="May"/>
    <x v="2"/>
    <x v="1"/>
    <x v="1"/>
    <n v="7"/>
    <n v="3439"/>
    <n v="0.1"/>
    <n v="21665.7"/>
    <n v="1053"/>
  </r>
  <r>
    <n v="74"/>
    <d v="2024-05-27T00:00:00"/>
    <x v="5"/>
    <x v="0"/>
    <s v="May"/>
    <x v="2"/>
    <x v="1"/>
    <x v="7"/>
    <n v="7"/>
    <n v="3290"/>
    <n v="0"/>
    <n v="23030"/>
    <n v="1061"/>
  </r>
  <r>
    <n v="75"/>
    <d v="2024-05-17T00:00:00"/>
    <x v="5"/>
    <x v="0"/>
    <s v="May"/>
    <x v="0"/>
    <x v="1"/>
    <x v="8"/>
    <n v="5"/>
    <n v="3294"/>
    <n v="0.15"/>
    <n v="13999.5"/>
    <n v="1062"/>
  </r>
  <r>
    <n v="76"/>
    <d v="2024-04-09T00:00:00"/>
    <x v="3"/>
    <x v="0"/>
    <s v="Apr"/>
    <x v="3"/>
    <x v="1"/>
    <x v="8"/>
    <n v="7"/>
    <n v="4078"/>
    <n v="0"/>
    <n v="28546"/>
    <n v="1085"/>
  </r>
  <r>
    <n v="77"/>
    <d v="2024-06-08T00:00:00"/>
    <x v="4"/>
    <x v="0"/>
    <s v="Jun"/>
    <x v="1"/>
    <x v="0"/>
    <x v="5"/>
    <n v="3"/>
    <n v="3928"/>
    <n v="0.05"/>
    <n v="11194.8"/>
    <n v="1050"/>
  </r>
  <r>
    <n v="78"/>
    <d v="2024-02-04T00:00:00"/>
    <x v="0"/>
    <x v="0"/>
    <s v="Feb"/>
    <x v="2"/>
    <x v="0"/>
    <x v="6"/>
    <n v="1"/>
    <n v="787"/>
    <n v="0.15"/>
    <n v="668.95"/>
    <n v="1023"/>
  </r>
  <r>
    <n v="79"/>
    <d v="2024-04-26T00:00:00"/>
    <x v="3"/>
    <x v="0"/>
    <s v="Apr"/>
    <x v="3"/>
    <x v="1"/>
    <x v="8"/>
    <n v="7"/>
    <n v="2781"/>
    <n v="0.05"/>
    <n v="18493.650000000001"/>
    <n v="1043"/>
  </r>
  <r>
    <n v="80"/>
    <d v="2024-04-30T00:00:00"/>
    <x v="3"/>
    <x v="0"/>
    <s v="Apr"/>
    <x v="1"/>
    <x v="2"/>
    <x v="4"/>
    <n v="7"/>
    <n v="2166"/>
    <n v="0"/>
    <n v="15162"/>
    <n v="1095"/>
  </r>
  <r>
    <n v="81"/>
    <d v="2024-06-15T00:00:00"/>
    <x v="4"/>
    <x v="0"/>
    <s v="Jun"/>
    <x v="1"/>
    <x v="0"/>
    <x v="0"/>
    <n v="6"/>
    <n v="1936"/>
    <n v="0"/>
    <n v="11616"/>
    <n v="1096"/>
  </r>
  <r>
    <n v="82"/>
    <d v="2024-03-02T00:00:00"/>
    <x v="2"/>
    <x v="0"/>
    <s v="Mar"/>
    <x v="0"/>
    <x v="1"/>
    <x v="7"/>
    <n v="4"/>
    <n v="266"/>
    <n v="0.05"/>
    <n v="1010.8"/>
    <n v="1060"/>
  </r>
  <r>
    <n v="83"/>
    <d v="2024-06-28T00:00:00"/>
    <x v="4"/>
    <x v="0"/>
    <s v="Jun"/>
    <x v="3"/>
    <x v="0"/>
    <x v="0"/>
    <n v="10"/>
    <n v="1885"/>
    <n v="0.15"/>
    <n v="16022.5"/>
    <n v="1098"/>
  </r>
  <r>
    <n v="84"/>
    <d v="2024-03-20T00:00:00"/>
    <x v="2"/>
    <x v="0"/>
    <s v="Mar"/>
    <x v="1"/>
    <x v="2"/>
    <x v="2"/>
    <n v="10"/>
    <n v="1038"/>
    <n v="0.05"/>
    <n v="9861"/>
    <n v="1074"/>
  </r>
  <r>
    <n v="85"/>
    <d v="2024-02-20T00:00:00"/>
    <x v="0"/>
    <x v="0"/>
    <s v="Feb"/>
    <x v="1"/>
    <x v="1"/>
    <x v="8"/>
    <n v="10"/>
    <n v="3174"/>
    <n v="0.15"/>
    <n v="26979"/>
    <n v="1075"/>
  </r>
  <r>
    <n v="86"/>
    <d v="2024-06-24T00:00:00"/>
    <x v="4"/>
    <x v="0"/>
    <s v="Jun"/>
    <x v="1"/>
    <x v="0"/>
    <x v="6"/>
    <n v="4"/>
    <n v="934"/>
    <n v="0.1"/>
    <n v="3362.4"/>
    <n v="1072"/>
  </r>
  <r>
    <n v="87"/>
    <d v="2024-01-18T00:00:00"/>
    <x v="1"/>
    <x v="0"/>
    <s v="Jan"/>
    <x v="3"/>
    <x v="1"/>
    <x v="8"/>
    <n v="9"/>
    <n v="3609"/>
    <n v="0.1"/>
    <n v="29232.9"/>
    <n v="1001"/>
  </r>
  <r>
    <n v="88"/>
    <d v="2024-06-11T00:00:00"/>
    <x v="4"/>
    <x v="0"/>
    <s v="Jun"/>
    <x v="2"/>
    <x v="2"/>
    <x v="4"/>
    <n v="2"/>
    <n v="3651"/>
    <n v="0.1"/>
    <n v="6571.8"/>
    <n v="1090"/>
  </r>
  <r>
    <n v="89"/>
    <d v="2024-06-06T00:00:00"/>
    <x v="4"/>
    <x v="0"/>
    <s v="Jun"/>
    <x v="2"/>
    <x v="1"/>
    <x v="9"/>
    <n v="3"/>
    <n v="4374"/>
    <n v="0.1"/>
    <n v="11809.8"/>
    <n v="1059"/>
  </r>
  <r>
    <n v="90"/>
    <d v="2024-03-03T00:00:00"/>
    <x v="2"/>
    <x v="0"/>
    <s v="Mar"/>
    <x v="1"/>
    <x v="2"/>
    <x v="3"/>
    <n v="10"/>
    <n v="2298"/>
    <n v="0.1"/>
    <n v="20682"/>
    <n v="1035"/>
  </r>
  <r>
    <n v="91"/>
    <d v="2024-03-27T00:00:00"/>
    <x v="2"/>
    <x v="0"/>
    <s v="Mar"/>
    <x v="1"/>
    <x v="2"/>
    <x v="2"/>
    <n v="8"/>
    <n v="4768"/>
    <n v="0.15"/>
    <n v="32422.400000000001"/>
    <n v="1063"/>
  </r>
  <r>
    <n v="92"/>
    <d v="2024-03-07T00:00:00"/>
    <x v="2"/>
    <x v="0"/>
    <s v="Mar"/>
    <x v="3"/>
    <x v="2"/>
    <x v="2"/>
    <n v="8"/>
    <n v="1837"/>
    <n v="0.1"/>
    <n v="13226.4"/>
    <n v="1035"/>
  </r>
  <r>
    <n v="93"/>
    <d v="2024-05-12T00:00:00"/>
    <x v="5"/>
    <x v="0"/>
    <s v="May"/>
    <x v="0"/>
    <x v="0"/>
    <x v="6"/>
    <n v="5"/>
    <n v="4653"/>
    <n v="0"/>
    <n v="23265"/>
    <n v="1010"/>
  </r>
  <r>
    <n v="94"/>
    <d v="2024-06-25T00:00:00"/>
    <x v="4"/>
    <x v="0"/>
    <s v="Jun"/>
    <x v="2"/>
    <x v="1"/>
    <x v="9"/>
    <n v="8"/>
    <n v="4648"/>
    <n v="0.05"/>
    <n v="35324.800000000003"/>
    <n v="1082"/>
  </r>
  <r>
    <n v="95"/>
    <d v="2024-03-16T00:00:00"/>
    <x v="2"/>
    <x v="0"/>
    <s v="Mar"/>
    <x v="0"/>
    <x v="0"/>
    <x v="5"/>
    <n v="8"/>
    <n v="241"/>
    <n v="0"/>
    <n v="1928"/>
    <n v="1051"/>
  </r>
  <r>
    <n v="96"/>
    <d v="2024-05-01T00:00:00"/>
    <x v="5"/>
    <x v="0"/>
    <s v="May"/>
    <x v="3"/>
    <x v="0"/>
    <x v="0"/>
    <n v="5"/>
    <n v="4864"/>
    <n v="0.1"/>
    <n v="21888"/>
    <n v="1054"/>
  </r>
  <r>
    <n v="97"/>
    <d v="2024-03-10T00:00:00"/>
    <x v="2"/>
    <x v="0"/>
    <s v="Mar"/>
    <x v="3"/>
    <x v="0"/>
    <x v="6"/>
    <n v="6"/>
    <n v="2982"/>
    <n v="0.15"/>
    <n v="15208.2"/>
    <n v="1032"/>
  </r>
  <r>
    <n v="98"/>
    <d v="2024-05-17T00:00:00"/>
    <x v="5"/>
    <x v="0"/>
    <s v="May"/>
    <x v="0"/>
    <x v="1"/>
    <x v="1"/>
    <n v="4"/>
    <n v="2684"/>
    <n v="0"/>
    <n v="10736"/>
    <n v="1024"/>
  </r>
  <r>
    <n v="99"/>
    <d v="2024-01-26T00:00:00"/>
    <x v="1"/>
    <x v="0"/>
    <s v="Jan"/>
    <x v="0"/>
    <x v="1"/>
    <x v="9"/>
    <n v="5"/>
    <n v="4929"/>
    <n v="0.1"/>
    <n v="22180.5"/>
    <n v="1037"/>
  </r>
  <r>
    <n v="100"/>
    <d v="2024-05-16T00:00:00"/>
    <x v="5"/>
    <x v="0"/>
    <s v="May"/>
    <x v="0"/>
    <x v="1"/>
    <x v="8"/>
    <n v="3"/>
    <n v="2576"/>
    <n v="0"/>
    <n v="7728"/>
    <n v="1035"/>
  </r>
  <r>
    <n v="101"/>
    <d v="2024-06-12T00:00:00"/>
    <x v="4"/>
    <x v="0"/>
    <s v="Jun"/>
    <x v="2"/>
    <x v="1"/>
    <x v="1"/>
    <n v="9"/>
    <n v="2493"/>
    <n v="0.05"/>
    <n v="21315.15"/>
    <n v="1013"/>
  </r>
  <r>
    <n v="102"/>
    <d v="2024-03-28T00:00:00"/>
    <x v="2"/>
    <x v="0"/>
    <s v="Mar"/>
    <x v="0"/>
    <x v="1"/>
    <x v="8"/>
    <n v="8"/>
    <n v="4021"/>
    <n v="0.15"/>
    <n v="27342.799999999999"/>
    <n v="1006"/>
  </r>
  <r>
    <n v="103"/>
    <d v="2024-05-05T00:00:00"/>
    <x v="5"/>
    <x v="0"/>
    <s v="May"/>
    <x v="1"/>
    <x v="2"/>
    <x v="4"/>
    <n v="2"/>
    <n v="635"/>
    <n v="0.15"/>
    <n v="1079.5"/>
    <n v="1073"/>
  </r>
  <r>
    <n v="104"/>
    <d v="2024-05-24T00:00:00"/>
    <x v="5"/>
    <x v="0"/>
    <s v="May"/>
    <x v="3"/>
    <x v="0"/>
    <x v="6"/>
    <n v="1"/>
    <n v="1342"/>
    <n v="0.05"/>
    <n v="1274.9000000000001"/>
    <n v="1010"/>
  </r>
  <r>
    <n v="105"/>
    <d v="2024-05-13T00:00:00"/>
    <x v="5"/>
    <x v="0"/>
    <s v="May"/>
    <x v="2"/>
    <x v="1"/>
    <x v="1"/>
    <n v="9"/>
    <n v="3509"/>
    <n v="0.05"/>
    <n v="30001.95"/>
    <n v="1057"/>
  </r>
  <r>
    <n v="106"/>
    <d v="2024-05-25T00:00:00"/>
    <x v="5"/>
    <x v="0"/>
    <s v="May"/>
    <x v="1"/>
    <x v="2"/>
    <x v="4"/>
    <n v="10"/>
    <n v="3612"/>
    <n v="0.1"/>
    <n v="32508"/>
    <n v="1078"/>
  </r>
  <r>
    <n v="107"/>
    <d v="2024-06-18T00:00:00"/>
    <x v="4"/>
    <x v="0"/>
    <s v="Jun"/>
    <x v="1"/>
    <x v="0"/>
    <x v="0"/>
    <n v="4"/>
    <n v="1828"/>
    <n v="0.1"/>
    <n v="6580.8"/>
    <n v="1020"/>
  </r>
  <r>
    <n v="108"/>
    <d v="2024-01-01T00:00:00"/>
    <x v="1"/>
    <x v="0"/>
    <s v="Jan"/>
    <x v="2"/>
    <x v="1"/>
    <x v="7"/>
    <n v="9"/>
    <n v="714"/>
    <n v="0.05"/>
    <n v="6104.7"/>
    <n v="1057"/>
  </r>
  <r>
    <n v="109"/>
    <d v="2024-02-29T00:00:00"/>
    <x v="0"/>
    <x v="0"/>
    <s v="Feb"/>
    <x v="3"/>
    <x v="0"/>
    <x v="6"/>
    <n v="8"/>
    <n v="2485"/>
    <n v="0"/>
    <n v="19880"/>
    <n v="1090"/>
  </r>
  <r>
    <n v="110"/>
    <d v="2024-03-08T00:00:00"/>
    <x v="2"/>
    <x v="0"/>
    <s v="Mar"/>
    <x v="0"/>
    <x v="2"/>
    <x v="3"/>
    <n v="8"/>
    <n v="683"/>
    <n v="0.05"/>
    <n v="5190.8"/>
    <n v="1054"/>
  </r>
  <r>
    <n v="111"/>
    <d v="2024-01-19T00:00:00"/>
    <x v="1"/>
    <x v="0"/>
    <s v="Jan"/>
    <x v="1"/>
    <x v="1"/>
    <x v="7"/>
    <n v="3"/>
    <n v="2276"/>
    <n v="0.05"/>
    <n v="6486.6"/>
    <n v="1021"/>
  </r>
  <r>
    <n v="112"/>
    <d v="2024-02-01T00:00:00"/>
    <x v="0"/>
    <x v="0"/>
    <s v="Feb"/>
    <x v="2"/>
    <x v="2"/>
    <x v="3"/>
    <n v="10"/>
    <n v="2464"/>
    <n v="0.15"/>
    <n v="20944"/>
    <n v="1088"/>
  </r>
  <r>
    <n v="113"/>
    <d v="2024-04-22T00:00:00"/>
    <x v="3"/>
    <x v="0"/>
    <s v="Apr"/>
    <x v="1"/>
    <x v="2"/>
    <x v="3"/>
    <n v="7"/>
    <n v="2330"/>
    <n v="0.15"/>
    <n v="13863.5"/>
    <n v="1076"/>
  </r>
  <r>
    <n v="114"/>
    <d v="2024-01-24T00:00:00"/>
    <x v="1"/>
    <x v="0"/>
    <s v="Jan"/>
    <x v="0"/>
    <x v="1"/>
    <x v="9"/>
    <n v="6"/>
    <n v="2151"/>
    <n v="0"/>
    <n v="12906"/>
    <n v="1086"/>
  </r>
  <r>
    <n v="115"/>
    <d v="2024-02-14T00:00:00"/>
    <x v="0"/>
    <x v="0"/>
    <s v="Feb"/>
    <x v="2"/>
    <x v="0"/>
    <x v="6"/>
    <n v="1"/>
    <n v="2307"/>
    <n v="0"/>
    <n v="2307"/>
    <n v="1066"/>
  </r>
  <r>
    <n v="116"/>
    <d v="2024-06-11T00:00:00"/>
    <x v="4"/>
    <x v="0"/>
    <s v="Jun"/>
    <x v="2"/>
    <x v="0"/>
    <x v="5"/>
    <n v="5"/>
    <n v="1586"/>
    <n v="0.15"/>
    <n v="6740.5"/>
    <n v="1011"/>
  </r>
  <r>
    <n v="117"/>
    <d v="2024-06-20T00:00:00"/>
    <x v="4"/>
    <x v="0"/>
    <s v="Jun"/>
    <x v="1"/>
    <x v="2"/>
    <x v="4"/>
    <n v="7"/>
    <n v="2830"/>
    <n v="0.1"/>
    <n v="17829"/>
    <n v="1020"/>
  </r>
  <r>
    <n v="118"/>
    <d v="2024-05-20T00:00:00"/>
    <x v="5"/>
    <x v="0"/>
    <s v="May"/>
    <x v="1"/>
    <x v="2"/>
    <x v="4"/>
    <n v="8"/>
    <n v="2461"/>
    <n v="0.15"/>
    <n v="16734.8"/>
    <n v="1058"/>
  </r>
  <r>
    <n v="119"/>
    <d v="2024-04-13T00:00:00"/>
    <x v="3"/>
    <x v="0"/>
    <s v="Apr"/>
    <x v="1"/>
    <x v="1"/>
    <x v="8"/>
    <n v="5"/>
    <n v="2748"/>
    <n v="0"/>
    <n v="13740"/>
    <n v="1084"/>
  </r>
  <r>
    <n v="120"/>
    <d v="2024-05-12T00:00:00"/>
    <x v="5"/>
    <x v="0"/>
    <s v="May"/>
    <x v="3"/>
    <x v="0"/>
    <x v="5"/>
    <n v="7"/>
    <n v="544"/>
    <n v="0.05"/>
    <n v="3617.6"/>
    <n v="1079"/>
  </r>
  <r>
    <n v="121"/>
    <d v="2024-03-09T00:00:00"/>
    <x v="2"/>
    <x v="0"/>
    <s v="Mar"/>
    <x v="0"/>
    <x v="2"/>
    <x v="3"/>
    <n v="8"/>
    <n v="522"/>
    <n v="0.05"/>
    <n v="3967.2"/>
    <n v="1036"/>
  </r>
  <r>
    <n v="122"/>
    <d v="2024-06-10T00:00:00"/>
    <x v="4"/>
    <x v="0"/>
    <s v="Jun"/>
    <x v="0"/>
    <x v="2"/>
    <x v="3"/>
    <n v="8"/>
    <n v="1094"/>
    <n v="0"/>
    <n v="8752"/>
    <n v="1090"/>
  </r>
  <r>
    <n v="123"/>
    <d v="2024-01-24T00:00:00"/>
    <x v="1"/>
    <x v="0"/>
    <s v="Jan"/>
    <x v="0"/>
    <x v="1"/>
    <x v="8"/>
    <n v="9"/>
    <n v="212"/>
    <n v="0.15"/>
    <n v="1621.8"/>
    <n v="1014"/>
  </r>
  <r>
    <n v="124"/>
    <d v="2024-05-10T00:00:00"/>
    <x v="5"/>
    <x v="0"/>
    <s v="May"/>
    <x v="3"/>
    <x v="2"/>
    <x v="2"/>
    <n v="3"/>
    <n v="4182"/>
    <n v="0.1"/>
    <n v="11291.4"/>
    <n v="1053"/>
  </r>
  <r>
    <n v="125"/>
    <d v="2024-04-08T00:00:00"/>
    <x v="3"/>
    <x v="0"/>
    <s v="Apr"/>
    <x v="0"/>
    <x v="2"/>
    <x v="4"/>
    <n v="4"/>
    <n v="3841"/>
    <n v="0.05"/>
    <n v="14595.8"/>
    <n v="1076"/>
  </r>
  <r>
    <n v="126"/>
    <d v="2024-04-16T00:00:00"/>
    <x v="3"/>
    <x v="0"/>
    <s v="Apr"/>
    <x v="3"/>
    <x v="0"/>
    <x v="6"/>
    <n v="3"/>
    <n v="671"/>
    <n v="0.1"/>
    <n v="1811.7"/>
    <n v="1100"/>
  </r>
  <r>
    <n v="127"/>
    <d v="2024-05-30T00:00:00"/>
    <x v="5"/>
    <x v="0"/>
    <s v="May"/>
    <x v="2"/>
    <x v="0"/>
    <x v="5"/>
    <n v="1"/>
    <n v="2417"/>
    <n v="0.1"/>
    <n v="2175.3000000000002"/>
    <n v="1019"/>
  </r>
  <r>
    <n v="128"/>
    <d v="2024-05-21T00:00:00"/>
    <x v="5"/>
    <x v="0"/>
    <s v="May"/>
    <x v="2"/>
    <x v="2"/>
    <x v="3"/>
    <n v="8"/>
    <n v="2927"/>
    <n v="0.1"/>
    <n v="21074.400000000001"/>
    <n v="1058"/>
  </r>
  <r>
    <n v="129"/>
    <d v="2024-02-29T00:00:00"/>
    <x v="0"/>
    <x v="0"/>
    <s v="Feb"/>
    <x v="2"/>
    <x v="2"/>
    <x v="2"/>
    <n v="4"/>
    <n v="4784"/>
    <n v="0.15"/>
    <n v="16265.6"/>
    <n v="1005"/>
  </r>
  <r>
    <n v="130"/>
    <d v="2024-06-18T00:00:00"/>
    <x v="4"/>
    <x v="0"/>
    <s v="Jun"/>
    <x v="0"/>
    <x v="2"/>
    <x v="3"/>
    <n v="8"/>
    <n v="3223"/>
    <n v="0.15"/>
    <n v="21916.400000000001"/>
    <n v="1063"/>
  </r>
  <r>
    <n v="131"/>
    <d v="2024-01-26T00:00:00"/>
    <x v="1"/>
    <x v="0"/>
    <s v="Jan"/>
    <x v="2"/>
    <x v="1"/>
    <x v="7"/>
    <n v="9"/>
    <n v="4934"/>
    <n v="0.1"/>
    <n v="39965.4"/>
    <n v="1012"/>
  </r>
  <r>
    <n v="132"/>
    <d v="2024-06-16T00:00:00"/>
    <x v="4"/>
    <x v="0"/>
    <s v="Jun"/>
    <x v="0"/>
    <x v="0"/>
    <x v="5"/>
    <n v="1"/>
    <n v="1280"/>
    <n v="0.15"/>
    <n v="1088"/>
    <n v="1009"/>
  </r>
  <r>
    <n v="133"/>
    <d v="2024-03-25T00:00:00"/>
    <x v="2"/>
    <x v="0"/>
    <s v="Mar"/>
    <x v="2"/>
    <x v="2"/>
    <x v="4"/>
    <n v="6"/>
    <n v="3356"/>
    <n v="0"/>
    <n v="20136"/>
    <n v="1040"/>
  </r>
  <r>
    <n v="134"/>
    <d v="2024-06-07T00:00:00"/>
    <x v="4"/>
    <x v="0"/>
    <s v="Jun"/>
    <x v="1"/>
    <x v="0"/>
    <x v="6"/>
    <n v="8"/>
    <n v="4532"/>
    <n v="0"/>
    <n v="36256"/>
    <n v="1030"/>
  </r>
  <r>
    <n v="135"/>
    <d v="2024-04-21T00:00:00"/>
    <x v="3"/>
    <x v="0"/>
    <s v="Apr"/>
    <x v="1"/>
    <x v="0"/>
    <x v="6"/>
    <n v="5"/>
    <n v="1963"/>
    <n v="0"/>
    <n v="9815"/>
    <n v="1097"/>
  </r>
  <r>
    <n v="136"/>
    <d v="2024-06-26T00:00:00"/>
    <x v="4"/>
    <x v="0"/>
    <s v="Jun"/>
    <x v="3"/>
    <x v="0"/>
    <x v="6"/>
    <n v="2"/>
    <n v="3734"/>
    <n v="0.05"/>
    <n v="7094.6"/>
    <n v="1003"/>
  </r>
  <r>
    <n v="137"/>
    <d v="2024-04-05T00:00:00"/>
    <x v="3"/>
    <x v="0"/>
    <s v="Apr"/>
    <x v="2"/>
    <x v="1"/>
    <x v="8"/>
    <n v="1"/>
    <n v="2503"/>
    <n v="0.1"/>
    <n v="2252.6999999999998"/>
    <n v="1018"/>
  </r>
  <r>
    <n v="138"/>
    <d v="2024-02-14T00:00:00"/>
    <x v="0"/>
    <x v="0"/>
    <s v="Feb"/>
    <x v="1"/>
    <x v="1"/>
    <x v="9"/>
    <n v="10"/>
    <n v="1575"/>
    <n v="0.05"/>
    <n v="14962.5"/>
    <n v="1078"/>
  </r>
  <r>
    <n v="139"/>
    <d v="2024-02-29T00:00:00"/>
    <x v="0"/>
    <x v="0"/>
    <s v="Feb"/>
    <x v="2"/>
    <x v="2"/>
    <x v="3"/>
    <n v="4"/>
    <n v="4176"/>
    <n v="0.05"/>
    <n v="15868.8"/>
    <n v="1081"/>
  </r>
  <r>
    <n v="140"/>
    <d v="2024-03-14T00:00:00"/>
    <x v="2"/>
    <x v="0"/>
    <s v="Mar"/>
    <x v="0"/>
    <x v="2"/>
    <x v="4"/>
    <n v="5"/>
    <n v="176"/>
    <n v="0.15"/>
    <n v="748"/>
    <n v="1009"/>
  </r>
  <r>
    <n v="141"/>
    <d v="2024-06-25T00:00:00"/>
    <x v="4"/>
    <x v="0"/>
    <s v="Jun"/>
    <x v="3"/>
    <x v="2"/>
    <x v="4"/>
    <n v="10"/>
    <n v="2550"/>
    <n v="0.15"/>
    <n v="21675"/>
    <n v="1058"/>
  </r>
  <r>
    <n v="142"/>
    <d v="2024-03-01T00:00:00"/>
    <x v="2"/>
    <x v="0"/>
    <s v="Mar"/>
    <x v="2"/>
    <x v="2"/>
    <x v="2"/>
    <n v="7"/>
    <n v="4058"/>
    <n v="0"/>
    <n v="28406"/>
    <n v="1073"/>
  </r>
  <r>
    <n v="143"/>
    <d v="2024-06-17T00:00:00"/>
    <x v="4"/>
    <x v="0"/>
    <s v="Jun"/>
    <x v="2"/>
    <x v="2"/>
    <x v="3"/>
    <n v="5"/>
    <n v="2518"/>
    <n v="0"/>
    <n v="12590"/>
    <n v="1035"/>
  </r>
  <r>
    <n v="144"/>
    <d v="2024-02-28T00:00:00"/>
    <x v="0"/>
    <x v="0"/>
    <s v="Feb"/>
    <x v="3"/>
    <x v="1"/>
    <x v="1"/>
    <n v="10"/>
    <n v="4169"/>
    <n v="0.1"/>
    <n v="37521"/>
    <n v="1028"/>
  </r>
  <r>
    <n v="145"/>
    <d v="2024-06-09T00:00:00"/>
    <x v="4"/>
    <x v="0"/>
    <s v="Jun"/>
    <x v="1"/>
    <x v="0"/>
    <x v="0"/>
    <n v="10"/>
    <n v="2153"/>
    <n v="0.05"/>
    <n v="20453.5"/>
    <n v="1080"/>
  </r>
  <r>
    <n v="146"/>
    <d v="2024-05-28T00:00:00"/>
    <x v="5"/>
    <x v="0"/>
    <s v="May"/>
    <x v="3"/>
    <x v="0"/>
    <x v="0"/>
    <n v="5"/>
    <n v="3711"/>
    <n v="0"/>
    <n v="18555"/>
    <n v="1093"/>
  </r>
  <r>
    <n v="147"/>
    <d v="2024-02-14T00:00:00"/>
    <x v="0"/>
    <x v="0"/>
    <s v="Feb"/>
    <x v="0"/>
    <x v="1"/>
    <x v="1"/>
    <n v="5"/>
    <n v="2776"/>
    <n v="0.15"/>
    <n v="11798"/>
    <n v="1016"/>
  </r>
  <r>
    <n v="148"/>
    <d v="2024-02-12T00:00:00"/>
    <x v="0"/>
    <x v="0"/>
    <s v="Feb"/>
    <x v="3"/>
    <x v="0"/>
    <x v="5"/>
    <n v="9"/>
    <n v="4210"/>
    <n v="0.1"/>
    <n v="34101"/>
    <n v="1061"/>
  </r>
  <r>
    <n v="149"/>
    <d v="2024-01-20T00:00:00"/>
    <x v="1"/>
    <x v="0"/>
    <s v="Jan"/>
    <x v="0"/>
    <x v="2"/>
    <x v="3"/>
    <n v="6"/>
    <n v="1043"/>
    <n v="0.15"/>
    <n v="5319.3"/>
    <n v="1096"/>
  </r>
  <r>
    <n v="150"/>
    <d v="2024-04-11T00:00:00"/>
    <x v="3"/>
    <x v="0"/>
    <s v="Apr"/>
    <x v="1"/>
    <x v="1"/>
    <x v="9"/>
    <n v="9"/>
    <n v="3096"/>
    <n v="0"/>
    <n v="27864"/>
    <n v="1033"/>
  </r>
  <r>
    <n v="151"/>
    <d v="2024-05-29T00:00:00"/>
    <x v="5"/>
    <x v="0"/>
    <s v="May"/>
    <x v="2"/>
    <x v="0"/>
    <x v="0"/>
    <n v="8"/>
    <n v="3119"/>
    <n v="0.1"/>
    <n v="22456.799999999999"/>
    <n v="1081"/>
  </r>
  <r>
    <n v="152"/>
    <d v="2024-06-07T00:00:00"/>
    <x v="4"/>
    <x v="0"/>
    <s v="Jun"/>
    <x v="3"/>
    <x v="2"/>
    <x v="2"/>
    <n v="4"/>
    <n v="3962"/>
    <n v="0"/>
    <n v="15848"/>
    <n v="1078"/>
  </r>
  <r>
    <n v="153"/>
    <d v="2024-01-30T00:00:00"/>
    <x v="1"/>
    <x v="0"/>
    <s v="Jan"/>
    <x v="0"/>
    <x v="1"/>
    <x v="1"/>
    <n v="8"/>
    <n v="2575"/>
    <n v="0.15"/>
    <n v="17510"/>
    <n v="1005"/>
  </r>
  <r>
    <n v="154"/>
    <d v="2024-03-01T00:00:00"/>
    <x v="2"/>
    <x v="0"/>
    <s v="Mar"/>
    <x v="0"/>
    <x v="1"/>
    <x v="8"/>
    <n v="8"/>
    <n v="1051"/>
    <n v="0"/>
    <n v="8408"/>
    <n v="1049"/>
  </r>
  <r>
    <n v="155"/>
    <d v="2024-04-16T00:00:00"/>
    <x v="3"/>
    <x v="0"/>
    <s v="Apr"/>
    <x v="1"/>
    <x v="2"/>
    <x v="4"/>
    <n v="9"/>
    <n v="3533"/>
    <n v="0.05"/>
    <n v="30207.15"/>
    <n v="1062"/>
  </r>
  <r>
    <n v="156"/>
    <d v="2024-02-25T00:00:00"/>
    <x v="0"/>
    <x v="0"/>
    <s v="Feb"/>
    <x v="2"/>
    <x v="0"/>
    <x v="5"/>
    <n v="5"/>
    <n v="368"/>
    <n v="0.1"/>
    <n v="1656"/>
    <n v="1056"/>
  </r>
  <r>
    <n v="157"/>
    <d v="2024-01-16T00:00:00"/>
    <x v="1"/>
    <x v="0"/>
    <s v="Jan"/>
    <x v="2"/>
    <x v="1"/>
    <x v="8"/>
    <n v="2"/>
    <n v="3109"/>
    <n v="0.1"/>
    <n v="5596.2"/>
    <n v="1035"/>
  </r>
  <r>
    <n v="158"/>
    <d v="2024-06-13T00:00:00"/>
    <x v="4"/>
    <x v="0"/>
    <s v="Jun"/>
    <x v="1"/>
    <x v="1"/>
    <x v="1"/>
    <n v="8"/>
    <n v="850"/>
    <n v="0.05"/>
    <n v="6460"/>
    <n v="1006"/>
  </r>
  <r>
    <n v="159"/>
    <d v="2024-01-18T00:00:00"/>
    <x v="1"/>
    <x v="0"/>
    <s v="Jan"/>
    <x v="0"/>
    <x v="2"/>
    <x v="2"/>
    <n v="3"/>
    <n v="4725"/>
    <n v="0.05"/>
    <n v="13466.25"/>
    <n v="1075"/>
  </r>
  <r>
    <n v="160"/>
    <d v="2024-03-11T00:00:00"/>
    <x v="2"/>
    <x v="0"/>
    <s v="Mar"/>
    <x v="0"/>
    <x v="1"/>
    <x v="7"/>
    <n v="6"/>
    <n v="1308"/>
    <n v="0"/>
    <n v="7848"/>
    <n v="1016"/>
  </r>
  <r>
    <n v="161"/>
    <d v="2024-02-03T00:00:00"/>
    <x v="0"/>
    <x v="0"/>
    <s v="Feb"/>
    <x v="1"/>
    <x v="0"/>
    <x v="5"/>
    <n v="3"/>
    <n v="1000"/>
    <n v="0"/>
    <n v="3000"/>
    <n v="1045"/>
  </r>
  <r>
    <n v="162"/>
    <d v="2024-01-14T00:00:00"/>
    <x v="1"/>
    <x v="0"/>
    <s v="Jan"/>
    <x v="0"/>
    <x v="1"/>
    <x v="8"/>
    <n v="1"/>
    <n v="1527"/>
    <n v="0.1"/>
    <n v="1374.3"/>
    <n v="1094"/>
  </r>
  <r>
    <n v="163"/>
    <d v="2024-04-24T00:00:00"/>
    <x v="3"/>
    <x v="0"/>
    <s v="Apr"/>
    <x v="3"/>
    <x v="2"/>
    <x v="3"/>
    <n v="2"/>
    <n v="620"/>
    <n v="0.15"/>
    <n v="1054"/>
    <n v="1065"/>
  </r>
  <r>
    <n v="164"/>
    <d v="2024-06-06T00:00:00"/>
    <x v="4"/>
    <x v="0"/>
    <s v="Jun"/>
    <x v="1"/>
    <x v="0"/>
    <x v="0"/>
    <n v="8"/>
    <n v="4227"/>
    <n v="0.05"/>
    <n v="32125.200000000001"/>
    <n v="1093"/>
  </r>
  <r>
    <n v="165"/>
    <d v="2024-01-16T00:00:00"/>
    <x v="1"/>
    <x v="0"/>
    <s v="Jan"/>
    <x v="2"/>
    <x v="0"/>
    <x v="6"/>
    <n v="5"/>
    <n v="3852"/>
    <n v="0"/>
    <n v="19260"/>
    <n v="1051"/>
  </r>
  <r>
    <n v="166"/>
    <d v="2024-01-19T00:00:00"/>
    <x v="1"/>
    <x v="0"/>
    <s v="Jan"/>
    <x v="1"/>
    <x v="2"/>
    <x v="3"/>
    <n v="2"/>
    <n v="4116"/>
    <n v="0.15"/>
    <n v="6997.2"/>
    <n v="1041"/>
  </r>
  <r>
    <n v="167"/>
    <d v="2024-06-08T00:00:00"/>
    <x v="4"/>
    <x v="0"/>
    <s v="Jun"/>
    <x v="3"/>
    <x v="0"/>
    <x v="0"/>
    <n v="2"/>
    <n v="1133"/>
    <n v="0.1"/>
    <n v="2039.4"/>
    <n v="1048"/>
  </r>
  <r>
    <n v="168"/>
    <d v="2024-01-26T00:00:00"/>
    <x v="1"/>
    <x v="0"/>
    <s v="Jan"/>
    <x v="1"/>
    <x v="0"/>
    <x v="6"/>
    <n v="5"/>
    <n v="3816"/>
    <n v="0.15"/>
    <n v="16218"/>
    <n v="1083"/>
  </r>
  <r>
    <n v="169"/>
    <d v="2024-02-28T00:00:00"/>
    <x v="0"/>
    <x v="0"/>
    <s v="Feb"/>
    <x v="2"/>
    <x v="0"/>
    <x v="6"/>
    <n v="4"/>
    <n v="3623"/>
    <n v="0.15"/>
    <n v="12318.2"/>
    <n v="1043"/>
  </r>
  <r>
    <n v="170"/>
    <d v="2024-04-19T00:00:00"/>
    <x v="3"/>
    <x v="0"/>
    <s v="Apr"/>
    <x v="3"/>
    <x v="2"/>
    <x v="4"/>
    <n v="7"/>
    <n v="878"/>
    <n v="0.1"/>
    <n v="5531.4"/>
    <n v="1085"/>
  </r>
  <r>
    <n v="171"/>
    <d v="2024-01-24T00:00:00"/>
    <x v="1"/>
    <x v="0"/>
    <s v="Jan"/>
    <x v="1"/>
    <x v="2"/>
    <x v="4"/>
    <n v="3"/>
    <n v="3985"/>
    <n v="0"/>
    <n v="11955"/>
    <n v="1011"/>
  </r>
  <r>
    <n v="172"/>
    <d v="2024-05-30T00:00:00"/>
    <x v="5"/>
    <x v="0"/>
    <s v="May"/>
    <x v="3"/>
    <x v="2"/>
    <x v="2"/>
    <n v="6"/>
    <n v="1165"/>
    <n v="0"/>
    <n v="6990"/>
    <n v="1085"/>
  </r>
  <r>
    <n v="173"/>
    <d v="2024-03-14T00:00:00"/>
    <x v="2"/>
    <x v="0"/>
    <s v="Mar"/>
    <x v="3"/>
    <x v="1"/>
    <x v="9"/>
    <n v="6"/>
    <n v="3564"/>
    <n v="0"/>
    <n v="21384"/>
    <n v="1045"/>
  </r>
  <r>
    <n v="174"/>
    <d v="2024-01-28T00:00:00"/>
    <x v="1"/>
    <x v="0"/>
    <s v="Jan"/>
    <x v="3"/>
    <x v="1"/>
    <x v="7"/>
    <n v="3"/>
    <n v="4050"/>
    <n v="0.05"/>
    <n v="11542.5"/>
    <n v="1071"/>
  </r>
  <r>
    <n v="175"/>
    <d v="2024-04-19T00:00:00"/>
    <x v="3"/>
    <x v="0"/>
    <s v="Apr"/>
    <x v="1"/>
    <x v="2"/>
    <x v="2"/>
    <n v="5"/>
    <n v="4803"/>
    <n v="0.05"/>
    <n v="22814.25"/>
    <n v="1077"/>
  </r>
  <r>
    <n v="176"/>
    <d v="2024-03-10T00:00:00"/>
    <x v="2"/>
    <x v="0"/>
    <s v="Mar"/>
    <x v="3"/>
    <x v="0"/>
    <x v="6"/>
    <n v="5"/>
    <n v="337"/>
    <n v="0.05"/>
    <n v="1600.75"/>
    <n v="1043"/>
  </r>
  <r>
    <n v="177"/>
    <d v="2024-01-18T00:00:00"/>
    <x v="1"/>
    <x v="0"/>
    <s v="Jan"/>
    <x v="0"/>
    <x v="2"/>
    <x v="2"/>
    <n v="3"/>
    <n v="1273"/>
    <n v="0.15"/>
    <n v="3246.15"/>
    <n v="1094"/>
  </r>
  <r>
    <n v="178"/>
    <d v="2024-04-06T00:00:00"/>
    <x v="3"/>
    <x v="0"/>
    <s v="Apr"/>
    <x v="2"/>
    <x v="0"/>
    <x v="0"/>
    <n v="2"/>
    <n v="4445"/>
    <n v="0.05"/>
    <n v="8445.5"/>
    <n v="1058"/>
  </r>
  <r>
    <n v="179"/>
    <d v="2024-05-25T00:00:00"/>
    <x v="5"/>
    <x v="0"/>
    <s v="May"/>
    <x v="1"/>
    <x v="2"/>
    <x v="2"/>
    <n v="6"/>
    <n v="2652"/>
    <n v="0.1"/>
    <n v="14320.8"/>
    <n v="1006"/>
  </r>
  <r>
    <n v="180"/>
    <d v="2024-03-10T00:00:00"/>
    <x v="2"/>
    <x v="0"/>
    <s v="Mar"/>
    <x v="2"/>
    <x v="1"/>
    <x v="7"/>
    <n v="10"/>
    <n v="507"/>
    <n v="0"/>
    <n v="5070"/>
    <n v="1084"/>
  </r>
  <r>
    <n v="181"/>
    <d v="2024-03-10T00:00:00"/>
    <x v="2"/>
    <x v="0"/>
    <s v="Mar"/>
    <x v="0"/>
    <x v="2"/>
    <x v="4"/>
    <n v="10"/>
    <n v="3721"/>
    <n v="0.15"/>
    <n v="31628.5"/>
    <n v="1096"/>
  </r>
  <r>
    <n v="182"/>
    <d v="2024-03-13T00:00:00"/>
    <x v="2"/>
    <x v="0"/>
    <s v="Mar"/>
    <x v="2"/>
    <x v="0"/>
    <x v="0"/>
    <n v="6"/>
    <n v="3621"/>
    <n v="0"/>
    <n v="21726"/>
    <n v="1067"/>
  </r>
  <r>
    <n v="183"/>
    <d v="2024-06-02T00:00:00"/>
    <x v="4"/>
    <x v="0"/>
    <s v="Jun"/>
    <x v="1"/>
    <x v="0"/>
    <x v="5"/>
    <n v="1"/>
    <n v="1906"/>
    <n v="0.15"/>
    <n v="1620.1"/>
    <n v="1000"/>
  </r>
  <r>
    <n v="184"/>
    <d v="2024-03-15T00:00:00"/>
    <x v="2"/>
    <x v="0"/>
    <s v="Mar"/>
    <x v="3"/>
    <x v="1"/>
    <x v="8"/>
    <n v="4"/>
    <n v="1224"/>
    <n v="0.1"/>
    <n v="4406.3999999999996"/>
    <n v="1015"/>
  </r>
  <r>
    <n v="185"/>
    <d v="2024-04-07T00:00:00"/>
    <x v="3"/>
    <x v="0"/>
    <s v="Apr"/>
    <x v="0"/>
    <x v="1"/>
    <x v="9"/>
    <n v="7"/>
    <n v="1539"/>
    <n v="0.05"/>
    <n v="10234.35"/>
    <n v="1064"/>
  </r>
  <r>
    <n v="186"/>
    <d v="2024-01-11T00:00:00"/>
    <x v="1"/>
    <x v="0"/>
    <s v="Jan"/>
    <x v="2"/>
    <x v="0"/>
    <x v="6"/>
    <n v="6"/>
    <n v="690"/>
    <n v="0.15"/>
    <n v="3519"/>
    <n v="1002"/>
  </r>
  <r>
    <n v="187"/>
    <d v="2024-05-26T00:00:00"/>
    <x v="5"/>
    <x v="0"/>
    <s v="May"/>
    <x v="2"/>
    <x v="2"/>
    <x v="2"/>
    <n v="6"/>
    <n v="4816"/>
    <n v="0.15"/>
    <n v="24561.599999999999"/>
    <n v="1090"/>
  </r>
  <r>
    <n v="188"/>
    <d v="2024-01-06T00:00:00"/>
    <x v="1"/>
    <x v="0"/>
    <s v="Jan"/>
    <x v="3"/>
    <x v="0"/>
    <x v="5"/>
    <n v="5"/>
    <n v="1043"/>
    <n v="0.15"/>
    <n v="4432.75"/>
    <n v="1021"/>
  </r>
  <r>
    <n v="189"/>
    <d v="2024-01-28T00:00:00"/>
    <x v="1"/>
    <x v="0"/>
    <s v="Jan"/>
    <x v="0"/>
    <x v="0"/>
    <x v="5"/>
    <n v="6"/>
    <n v="821"/>
    <n v="0.15"/>
    <n v="4187.1000000000004"/>
    <n v="1055"/>
  </r>
  <r>
    <n v="190"/>
    <d v="2024-03-20T00:00:00"/>
    <x v="2"/>
    <x v="0"/>
    <s v="Mar"/>
    <x v="3"/>
    <x v="0"/>
    <x v="5"/>
    <n v="9"/>
    <n v="744"/>
    <n v="0.15"/>
    <n v="5691.6"/>
    <n v="1028"/>
  </r>
  <r>
    <n v="191"/>
    <d v="2024-05-15T00:00:00"/>
    <x v="5"/>
    <x v="0"/>
    <s v="May"/>
    <x v="0"/>
    <x v="2"/>
    <x v="2"/>
    <n v="2"/>
    <n v="4281"/>
    <n v="0"/>
    <n v="8562"/>
    <n v="1099"/>
  </r>
  <r>
    <n v="192"/>
    <d v="2024-02-07T00:00:00"/>
    <x v="0"/>
    <x v="0"/>
    <s v="Feb"/>
    <x v="3"/>
    <x v="2"/>
    <x v="4"/>
    <n v="3"/>
    <n v="2035"/>
    <n v="0"/>
    <n v="6105"/>
    <n v="1025"/>
  </r>
  <r>
    <n v="193"/>
    <d v="2024-04-28T00:00:00"/>
    <x v="3"/>
    <x v="0"/>
    <s v="Apr"/>
    <x v="2"/>
    <x v="1"/>
    <x v="7"/>
    <n v="2"/>
    <n v="1551"/>
    <n v="0.15"/>
    <n v="2636.7"/>
    <n v="1087"/>
  </r>
  <r>
    <n v="194"/>
    <d v="2024-02-08T00:00:00"/>
    <x v="0"/>
    <x v="0"/>
    <s v="Feb"/>
    <x v="2"/>
    <x v="0"/>
    <x v="6"/>
    <n v="10"/>
    <n v="2747"/>
    <n v="0.1"/>
    <n v="24723"/>
    <n v="1008"/>
  </r>
  <r>
    <n v="195"/>
    <d v="2024-03-31T00:00:00"/>
    <x v="2"/>
    <x v="0"/>
    <s v="Mar"/>
    <x v="1"/>
    <x v="2"/>
    <x v="4"/>
    <n v="5"/>
    <n v="2350"/>
    <n v="0"/>
    <n v="11750"/>
    <n v="1039"/>
  </r>
  <r>
    <n v="196"/>
    <d v="2024-03-14T00:00:00"/>
    <x v="2"/>
    <x v="0"/>
    <s v="Mar"/>
    <x v="1"/>
    <x v="2"/>
    <x v="4"/>
    <n v="1"/>
    <n v="566"/>
    <n v="0.1"/>
    <n v="509.4"/>
    <n v="1082"/>
  </r>
  <r>
    <n v="197"/>
    <d v="2024-04-25T00:00:00"/>
    <x v="3"/>
    <x v="0"/>
    <s v="Apr"/>
    <x v="0"/>
    <x v="1"/>
    <x v="9"/>
    <n v="8"/>
    <n v="4854"/>
    <n v="0"/>
    <n v="38832"/>
    <n v="1041"/>
  </r>
  <r>
    <n v="198"/>
    <d v="2024-04-25T00:00:00"/>
    <x v="3"/>
    <x v="0"/>
    <s v="Apr"/>
    <x v="1"/>
    <x v="0"/>
    <x v="5"/>
    <n v="9"/>
    <n v="1335"/>
    <n v="0"/>
    <n v="12015"/>
    <n v="1043"/>
  </r>
  <r>
    <n v="199"/>
    <d v="2024-03-04T00:00:00"/>
    <x v="2"/>
    <x v="0"/>
    <s v="Mar"/>
    <x v="2"/>
    <x v="0"/>
    <x v="0"/>
    <n v="9"/>
    <n v="1513"/>
    <n v="0"/>
    <n v="13617"/>
    <n v="1056"/>
  </r>
  <r>
    <n v="200"/>
    <d v="2024-04-05T00:00:00"/>
    <x v="3"/>
    <x v="0"/>
    <s v="Apr"/>
    <x v="3"/>
    <x v="0"/>
    <x v="6"/>
    <n v="10"/>
    <n v="1400"/>
    <n v="0.1"/>
    <n v="12600"/>
    <n v="1049"/>
  </r>
  <r>
    <n v="201"/>
    <d v="2024-01-17T00:00:00"/>
    <x v="1"/>
    <x v="0"/>
    <s v="Jan"/>
    <x v="3"/>
    <x v="2"/>
    <x v="4"/>
    <n v="10"/>
    <n v="528"/>
    <n v="0.1"/>
    <n v="4752"/>
    <n v="1012"/>
  </r>
  <r>
    <n v="202"/>
    <d v="2024-06-17T00:00:00"/>
    <x v="4"/>
    <x v="0"/>
    <s v="Jun"/>
    <x v="0"/>
    <x v="0"/>
    <x v="6"/>
    <n v="7"/>
    <n v="2427"/>
    <n v="0.1"/>
    <n v="15290.1"/>
    <n v="1042"/>
  </r>
  <r>
    <n v="203"/>
    <d v="2024-02-03T00:00:00"/>
    <x v="0"/>
    <x v="0"/>
    <s v="Feb"/>
    <x v="1"/>
    <x v="1"/>
    <x v="7"/>
    <n v="6"/>
    <n v="2641"/>
    <n v="0.15"/>
    <n v="13469.1"/>
    <n v="1039"/>
  </r>
  <r>
    <n v="204"/>
    <d v="2024-06-14T00:00:00"/>
    <x v="4"/>
    <x v="0"/>
    <s v="Jun"/>
    <x v="2"/>
    <x v="0"/>
    <x v="5"/>
    <n v="6"/>
    <n v="1146"/>
    <n v="0"/>
    <n v="6876"/>
    <n v="1065"/>
  </r>
  <r>
    <n v="205"/>
    <d v="2024-02-24T00:00:00"/>
    <x v="0"/>
    <x v="0"/>
    <s v="Feb"/>
    <x v="3"/>
    <x v="2"/>
    <x v="2"/>
    <n v="6"/>
    <n v="2630"/>
    <n v="0.05"/>
    <n v="14991"/>
    <n v="1098"/>
  </r>
  <r>
    <n v="206"/>
    <d v="2024-01-20T00:00:00"/>
    <x v="1"/>
    <x v="0"/>
    <s v="Jan"/>
    <x v="3"/>
    <x v="2"/>
    <x v="2"/>
    <n v="4"/>
    <n v="1226"/>
    <n v="0.05"/>
    <n v="4658.8"/>
    <n v="1100"/>
  </r>
  <r>
    <n v="207"/>
    <d v="2024-02-09T00:00:00"/>
    <x v="0"/>
    <x v="0"/>
    <s v="Feb"/>
    <x v="0"/>
    <x v="1"/>
    <x v="1"/>
    <n v="6"/>
    <n v="1173"/>
    <n v="0.15"/>
    <n v="5982.3"/>
    <n v="1023"/>
  </r>
  <r>
    <n v="208"/>
    <d v="2024-04-15T00:00:00"/>
    <x v="3"/>
    <x v="0"/>
    <s v="Apr"/>
    <x v="3"/>
    <x v="0"/>
    <x v="6"/>
    <n v="3"/>
    <n v="3685"/>
    <n v="0"/>
    <n v="11055"/>
    <n v="1086"/>
  </r>
  <r>
    <n v="209"/>
    <d v="2024-02-29T00:00:00"/>
    <x v="0"/>
    <x v="0"/>
    <s v="Feb"/>
    <x v="0"/>
    <x v="0"/>
    <x v="0"/>
    <n v="8"/>
    <n v="2434"/>
    <n v="0.15"/>
    <n v="16551.2"/>
    <n v="1039"/>
  </r>
  <r>
    <n v="210"/>
    <d v="2024-04-28T00:00:00"/>
    <x v="3"/>
    <x v="0"/>
    <s v="Apr"/>
    <x v="3"/>
    <x v="2"/>
    <x v="2"/>
    <n v="6"/>
    <n v="4772"/>
    <n v="0.15"/>
    <n v="24337.200000000001"/>
    <n v="1099"/>
  </r>
  <r>
    <n v="211"/>
    <d v="2024-02-21T00:00:00"/>
    <x v="0"/>
    <x v="0"/>
    <s v="Feb"/>
    <x v="0"/>
    <x v="2"/>
    <x v="3"/>
    <n v="9"/>
    <n v="3529"/>
    <n v="0.05"/>
    <n v="30172.95"/>
    <n v="1032"/>
  </r>
  <r>
    <n v="212"/>
    <d v="2024-05-12T00:00:00"/>
    <x v="5"/>
    <x v="0"/>
    <s v="May"/>
    <x v="1"/>
    <x v="1"/>
    <x v="9"/>
    <n v="6"/>
    <n v="4642"/>
    <n v="0"/>
    <n v="27852"/>
    <n v="1036"/>
  </r>
  <r>
    <n v="213"/>
    <d v="2024-04-21T00:00:00"/>
    <x v="3"/>
    <x v="0"/>
    <s v="Apr"/>
    <x v="1"/>
    <x v="1"/>
    <x v="7"/>
    <n v="5"/>
    <n v="3780"/>
    <n v="0.05"/>
    <n v="17955"/>
    <n v="1028"/>
  </r>
  <r>
    <n v="214"/>
    <d v="2024-04-11T00:00:00"/>
    <x v="3"/>
    <x v="0"/>
    <s v="Apr"/>
    <x v="3"/>
    <x v="2"/>
    <x v="4"/>
    <n v="1"/>
    <n v="3498"/>
    <n v="0"/>
    <n v="3498"/>
    <n v="1030"/>
  </r>
  <r>
    <n v="215"/>
    <d v="2024-03-22T00:00:00"/>
    <x v="2"/>
    <x v="0"/>
    <s v="Mar"/>
    <x v="1"/>
    <x v="2"/>
    <x v="2"/>
    <n v="6"/>
    <n v="1939"/>
    <n v="0"/>
    <n v="11634"/>
    <n v="1091"/>
  </r>
  <r>
    <n v="216"/>
    <d v="2024-03-14T00:00:00"/>
    <x v="2"/>
    <x v="0"/>
    <s v="Mar"/>
    <x v="2"/>
    <x v="0"/>
    <x v="5"/>
    <n v="3"/>
    <n v="1227"/>
    <n v="0"/>
    <n v="3681"/>
    <n v="1089"/>
  </r>
  <r>
    <n v="217"/>
    <d v="2024-01-05T00:00:00"/>
    <x v="1"/>
    <x v="0"/>
    <s v="Jan"/>
    <x v="3"/>
    <x v="1"/>
    <x v="9"/>
    <n v="8"/>
    <n v="143"/>
    <n v="0"/>
    <n v="1144"/>
    <n v="1027"/>
  </r>
  <r>
    <n v="218"/>
    <d v="2024-03-18T00:00:00"/>
    <x v="2"/>
    <x v="0"/>
    <s v="Mar"/>
    <x v="1"/>
    <x v="1"/>
    <x v="9"/>
    <n v="2"/>
    <n v="2460"/>
    <n v="0.05"/>
    <n v="4674"/>
    <n v="1006"/>
  </r>
  <r>
    <n v="219"/>
    <d v="2024-01-29T00:00:00"/>
    <x v="1"/>
    <x v="0"/>
    <s v="Jan"/>
    <x v="2"/>
    <x v="1"/>
    <x v="9"/>
    <n v="10"/>
    <n v="3844"/>
    <n v="0"/>
    <n v="38440"/>
    <n v="1076"/>
  </r>
  <r>
    <n v="220"/>
    <d v="2024-02-06T00:00:00"/>
    <x v="0"/>
    <x v="0"/>
    <s v="Feb"/>
    <x v="3"/>
    <x v="0"/>
    <x v="0"/>
    <n v="9"/>
    <n v="4810"/>
    <n v="0.05"/>
    <n v="41125.5"/>
    <n v="1054"/>
  </r>
  <r>
    <n v="221"/>
    <d v="2024-02-17T00:00:00"/>
    <x v="0"/>
    <x v="0"/>
    <s v="Feb"/>
    <x v="1"/>
    <x v="1"/>
    <x v="8"/>
    <n v="4"/>
    <n v="4774"/>
    <n v="0.15"/>
    <n v="16231.6"/>
    <n v="1067"/>
  </r>
  <r>
    <n v="222"/>
    <d v="2024-04-09T00:00:00"/>
    <x v="3"/>
    <x v="0"/>
    <s v="Apr"/>
    <x v="2"/>
    <x v="2"/>
    <x v="2"/>
    <n v="9"/>
    <n v="4557"/>
    <n v="0"/>
    <n v="41013"/>
    <n v="1005"/>
  </r>
  <r>
    <n v="223"/>
    <d v="2024-04-01T00:00:00"/>
    <x v="3"/>
    <x v="0"/>
    <s v="Apr"/>
    <x v="1"/>
    <x v="0"/>
    <x v="5"/>
    <n v="6"/>
    <n v="2177"/>
    <n v="0"/>
    <n v="13062"/>
    <n v="1044"/>
  </r>
  <r>
    <n v="224"/>
    <d v="2024-01-12T00:00:00"/>
    <x v="1"/>
    <x v="0"/>
    <s v="Jan"/>
    <x v="3"/>
    <x v="1"/>
    <x v="1"/>
    <n v="10"/>
    <n v="2823"/>
    <n v="0.05"/>
    <n v="26818.5"/>
    <n v="1069"/>
  </r>
  <r>
    <n v="225"/>
    <d v="2024-06-10T00:00:00"/>
    <x v="4"/>
    <x v="0"/>
    <s v="Jun"/>
    <x v="0"/>
    <x v="2"/>
    <x v="3"/>
    <n v="3"/>
    <n v="3906"/>
    <n v="0.15"/>
    <n v="9960.2999999999993"/>
    <n v="1017"/>
  </r>
  <r>
    <n v="226"/>
    <d v="2024-01-12T00:00:00"/>
    <x v="1"/>
    <x v="0"/>
    <s v="Jan"/>
    <x v="0"/>
    <x v="1"/>
    <x v="9"/>
    <n v="1"/>
    <n v="2503"/>
    <n v="0.05"/>
    <n v="2377.85"/>
    <n v="1005"/>
  </r>
  <r>
    <n v="227"/>
    <d v="2024-03-05T00:00:00"/>
    <x v="2"/>
    <x v="0"/>
    <s v="Mar"/>
    <x v="1"/>
    <x v="2"/>
    <x v="4"/>
    <n v="9"/>
    <n v="3362"/>
    <n v="0.15"/>
    <n v="25719.3"/>
    <n v="1096"/>
  </r>
  <r>
    <n v="228"/>
    <d v="2024-06-16T00:00:00"/>
    <x v="4"/>
    <x v="0"/>
    <s v="Jun"/>
    <x v="3"/>
    <x v="0"/>
    <x v="0"/>
    <n v="5"/>
    <n v="3024"/>
    <n v="0"/>
    <n v="15120"/>
    <n v="1034"/>
  </r>
  <r>
    <n v="229"/>
    <d v="2024-04-08T00:00:00"/>
    <x v="3"/>
    <x v="0"/>
    <s v="Apr"/>
    <x v="3"/>
    <x v="1"/>
    <x v="8"/>
    <n v="7"/>
    <n v="3376"/>
    <n v="0.15"/>
    <n v="20087.2"/>
    <n v="1023"/>
  </r>
  <r>
    <n v="230"/>
    <d v="2024-01-22T00:00:00"/>
    <x v="1"/>
    <x v="0"/>
    <s v="Jan"/>
    <x v="2"/>
    <x v="2"/>
    <x v="3"/>
    <n v="8"/>
    <n v="3109"/>
    <n v="0.1"/>
    <n v="22384.799999999999"/>
    <n v="1010"/>
  </r>
  <r>
    <n v="231"/>
    <d v="2024-03-23T00:00:00"/>
    <x v="2"/>
    <x v="0"/>
    <s v="Mar"/>
    <x v="1"/>
    <x v="2"/>
    <x v="3"/>
    <n v="3"/>
    <n v="4568"/>
    <n v="0.1"/>
    <n v="12333.6"/>
    <n v="1010"/>
  </r>
  <r>
    <n v="232"/>
    <d v="2024-06-03T00:00:00"/>
    <x v="4"/>
    <x v="0"/>
    <s v="Jun"/>
    <x v="2"/>
    <x v="2"/>
    <x v="3"/>
    <n v="5"/>
    <n v="2610"/>
    <n v="0.15"/>
    <n v="11092.5"/>
    <n v="1021"/>
  </r>
  <r>
    <n v="233"/>
    <d v="2024-03-31T00:00:00"/>
    <x v="2"/>
    <x v="0"/>
    <s v="Mar"/>
    <x v="2"/>
    <x v="0"/>
    <x v="5"/>
    <n v="6"/>
    <n v="3762"/>
    <n v="0"/>
    <n v="22572"/>
    <n v="1035"/>
  </r>
  <r>
    <n v="234"/>
    <d v="2024-05-11T00:00:00"/>
    <x v="5"/>
    <x v="0"/>
    <s v="May"/>
    <x v="0"/>
    <x v="0"/>
    <x v="0"/>
    <n v="2"/>
    <n v="3427"/>
    <n v="0.1"/>
    <n v="6168.6"/>
    <n v="1003"/>
  </r>
  <r>
    <n v="235"/>
    <d v="2024-03-01T00:00:00"/>
    <x v="2"/>
    <x v="0"/>
    <s v="Mar"/>
    <x v="3"/>
    <x v="1"/>
    <x v="9"/>
    <n v="1"/>
    <n v="1134"/>
    <n v="0"/>
    <n v="1134"/>
    <n v="1046"/>
  </r>
  <r>
    <n v="236"/>
    <d v="2024-04-04T00:00:00"/>
    <x v="3"/>
    <x v="0"/>
    <s v="Apr"/>
    <x v="3"/>
    <x v="2"/>
    <x v="3"/>
    <n v="1"/>
    <n v="1356"/>
    <n v="0.15"/>
    <n v="1152.5999999999999"/>
    <n v="1056"/>
  </r>
  <r>
    <n v="237"/>
    <d v="2024-03-21T00:00:00"/>
    <x v="2"/>
    <x v="0"/>
    <s v="Mar"/>
    <x v="3"/>
    <x v="1"/>
    <x v="7"/>
    <n v="9"/>
    <n v="3106"/>
    <n v="0.15"/>
    <n v="23760.9"/>
    <n v="1031"/>
  </r>
  <r>
    <n v="238"/>
    <d v="2024-05-23T00:00:00"/>
    <x v="5"/>
    <x v="0"/>
    <s v="May"/>
    <x v="1"/>
    <x v="1"/>
    <x v="1"/>
    <n v="3"/>
    <n v="4188"/>
    <n v="0.15"/>
    <n v="10679.4"/>
    <n v="1033"/>
  </r>
  <r>
    <n v="239"/>
    <d v="2024-06-26T00:00:00"/>
    <x v="4"/>
    <x v="0"/>
    <s v="Jun"/>
    <x v="2"/>
    <x v="2"/>
    <x v="3"/>
    <n v="8"/>
    <n v="1857"/>
    <n v="0.1"/>
    <n v="13370.4"/>
    <n v="1025"/>
  </r>
  <r>
    <n v="240"/>
    <d v="2024-04-23T00:00:00"/>
    <x v="3"/>
    <x v="0"/>
    <s v="Apr"/>
    <x v="1"/>
    <x v="1"/>
    <x v="7"/>
    <n v="2"/>
    <n v="3803"/>
    <n v="0.05"/>
    <n v="7225.7"/>
    <n v="1087"/>
  </r>
  <r>
    <n v="241"/>
    <d v="2024-03-17T00:00:00"/>
    <x v="2"/>
    <x v="0"/>
    <s v="Mar"/>
    <x v="0"/>
    <x v="2"/>
    <x v="3"/>
    <n v="6"/>
    <n v="631"/>
    <n v="0.1"/>
    <n v="3407.4"/>
    <n v="1091"/>
  </r>
  <r>
    <n v="242"/>
    <d v="2024-02-01T00:00:00"/>
    <x v="0"/>
    <x v="0"/>
    <s v="Feb"/>
    <x v="0"/>
    <x v="0"/>
    <x v="6"/>
    <n v="3"/>
    <n v="3061"/>
    <n v="0.05"/>
    <n v="8723.85"/>
    <n v="1017"/>
  </r>
  <r>
    <n v="243"/>
    <d v="2024-04-29T00:00:00"/>
    <x v="3"/>
    <x v="0"/>
    <s v="Apr"/>
    <x v="0"/>
    <x v="1"/>
    <x v="9"/>
    <n v="1"/>
    <n v="3056"/>
    <n v="0.1"/>
    <n v="2750.4"/>
    <n v="1078"/>
  </r>
  <r>
    <n v="244"/>
    <d v="2024-05-14T00:00:00"/>
    <x v="5"/>
    <x v="0"/>
    <s v="May"/>
    <x v="2"/>
    <x v="1"/>
    <x v="1"/>
    <n v="5"/>
    <n v="3361"/>
    <n v="0.15"/>
    <n v="14284.25"/>
    <n v="1098"/>
  </r>
  <r>
    <n v="245"/>
    <d v="2024-06-13T00:00:00"/>
    <x v="4"/>
    <x v="0"/>
    <s v="Jun"/>
    <x v="1"/>
    <x v="2"/>
    <x v="3"/>
    <n v="2"/>
    <n v="1126"/>
    <n v="0.1"/>
    <n v="2026.8"/>
    <n v="1057"/>
  </r>
  <r>
    <n v="246"/>
    <d v="2024-05-21T00:00:00"/>
    <x v="5"/>
    <x v="0"/>
    <s v="May"/>
    <x v="0"/>
    <x v="2"/>
    <x v="3"/>
    <n v="9"/>
    <n v="2922"/>
    <n v="0.05"/>
    <n v="24983.1"/>
    <n v="1098"/>
  </r>
  <r>
    <n v="247"/>
    <d v="2024-05-12T00:00:00"/>
    <x v="5"/>
    <x v="0"/>
    <s v="May"/>
    <x v="0"/>
    <x v="1"/>
    <x v="9"/>
    <n v="9"/>
    <n v="553"/>
    <n v="0"/>
    <n v="4977"/>
    <n v="1038"/>
  </r>
  <r>
    <n v="248"/>
    <d v="2024-05-12T00:00:00"/>
    <x v="5"/>
    <x v="0"/>
    <s v="May"/>
    <x v="3"/>
    <x v="1"/>
    <x v="7"/>
    <n v="6"/>
    <n v="1947"/>
    <n v="0.1"/>
    <n v="10513.8"/>
    <n v="1010"/>
  </r>
  <r>
    <n v="249"/>
    <d v="2024-06-09T00:00:00"/>
    <x v="4"/>
    <x v="0"/>
    <s v="Jun"/>
    <x v="3"/>
    <x v="2"/>
    <x v="2"/>
    <n v="9"/>
    <n v="2348"/>
    <n v="0.05"/>
    <n v="20075.400000000001"/>
    <n v="1078"/>
  </r>
  <r>
    <n v="250"/>
    <d v="2024-02-13T00:00:00"/>
    <x v="0"/>
    <x v="0"/>
    <s v="Feb"/>
    <x v="3"/>
    <x v="0"/>
    <x v="0"/>
    <n v="9"/>
    <n v="1481"/>
    <n v="0.05"/>
    <n v="12662.55"/>
    <n v="1072"/>
  </r>
  <r>
    <n v="251"/>
    <d v="2024-06-15T00:00:00"/>
    <x v="4"/>
    <x v="0"/>
    <s v="Jun"/>
    <x v="0"/>
    <x v="1"/>
    <x v="1"/>
    <n v="2"/>
    <n v="472"/>
    <n v="0.1"/>
    <n v="849.6"/>
    <n v="1098"/>
  </r>
  <r>
    <n v="252"/>
    <d v="2024-06-09T00:00:00"/>
    <x v="4"/>
    <x v="0"/>
    <s v="Jun"/>
    <x v="3"/>
    <x v="0"/>
    <x v="5"/>
    <n v="10"/>
    <n v="348"/>
    <n v="0.15"/>
    <n v="2958"/>
    <n v="1082"/>
  </r>
  <r>
    <n v="253"/>
    <d v="2024-04-26T00:00:00"/>
    <x v="3"/>
    <x v="0"/>
    <s v="Apr"/>
    <x v="1"/>
    <x v="2"/>
    <x v="4"/>
    <n v="4"/>
    <n v="3426"/>
    <n v="0.1"/>
    <n v="12333.6"/>
    <n v="1088"/>
  </r>
  <r>
    <n v="254"/>
    <d v="2024-04-28T00:00:00"/>
    <x v="3"/>
    <x v="0"/>
    <s v="Apr"/>
    <x v="0"/>
    <x v="1"/>
    <x v="7"/>
    <n v="8"/>
    <n v="3504"/>
    <n v="0.15"/>
    <n v="23827.200000000001"/>
    <n v="1043"/>
  </r>
  <r>
    <n v="255"/>
    <d v="2024-04-12T00:00:00"/>
    <x v="3"/>
    <x v="0"/>
    <s v="Apr"/>
    <x v="0"/>
    <x v="0"/>
    <x v="0"/>
    <n v="6"/>
    <n v="2715"/>
    <n v="0.1"/>
    <n v="14661"/>
    <n v="1097"/>
  </r>
  <r>
    <n v="256"/>
    <d v="2024-03-02T00:00:00"/>
    <x v="2"/>
    <x v="0"/>
    <s v="Mar"/>
    <x v="2"/>
    <x v="2"/>
    <x v="3"/>
    <n v="9"/>
    <n v="969"/>
    <n v="0.1"/>
    <n v="7848.9"/>
    <n v="1015"/>
  </r>
  <r>
    <n v="257"/>
    <d v="2024-01-13T00:00:00"/>
    <x v="1"/>
    <x v="0"/>
    <s v="Jan"/>
    <x v="3"/>
    <x v="2"/>
    <x v="4"/>
    <n v="4"/>
    <n v="1254"/>
    <n v="0"/>
    <n v="5016"/>
    <n v="1049"/>
  </r>
  <r>
    <n v="258"/>
    <d v="2024-05-27T00:00:00"/>
    <x v="5"/>
    <x v="0"/>
    <s v="May"/>
    <x v="3"/>
    <x v="0"/>
    <x v="5"/>
    <n v="4"/>
    <n v="1408"/>
    <n v="0.1"/>
    <n v="5068.8"/>
    <n v="1024"/>
  </r>
  <r>
    <n v="259"/>
    <d v="2024-03-19T00:00:00"/>
    <x v="2"/>
    <x v="0"/>
    <s v="Mar"/>
    <x v="2"/>
    <x v="1"/>
    <x v="9"/>
    <n v="9"/>
    <n v="3924"/>
    <n v="0.15"/>
    <n v="30018.6"/>
    <n v="1002"/>
  </r>
  <r>
    <n v="260"/>
    <d v="2024-02-25T00:00:00"/>
    <x v="0"/>
    <x v="0"/>
    <s v="Feb"/>
    <x v="3"/>
    <x v="1"/>
    <x v="9"/>
    <n v="9"/>
    <n v="3845"/>
    <n v="0.05"/>
    <n v="32874.75"/>
    <n v="1006"/>
  </r>
  <r>
    <n v="261"/>
    <d v="2024-03-14T00:00:00"/>
    <x v="2"/>
    <x v="0"/>
    <s v="Mar"/>
    <x v="1"/>
    <x v="1"/>
    <x v="8"/>
    <n v="8"/>
    <n v="4994"/>
    <n v="0.15"/>
    <n v="33959.199999999997"/>
    <n v="1013"/>
  </r>
  <r>
    <n v="262"/>
    <d v="2024-04-03T00:00:00"/>
    <x v="3"/>
    <x v="0"/>
    <s v="Apr"/>
    <x v="1"/>
    <x v="2"/>
    <x v="2"/>
    <n v="5"/>
    <n v="3096"/>
    <n v="0.15"/>
    <n v="13158"/>
    <n v="1051"/>
  </r>
  <r>
    <n v="263"/>
    <d v="2024-01-19T00:00:00"/>
    <x v="1"/>
    <x v="0"/>
    <s v="Jan"/>
    <x v="2"/>
    <x v="1"/>
    <x v="7"/>
    <n v="6"/>
    <n v="4632"/>
    <n v="0.1"/>
    <n v="25012.799999999999"/>
    <n v="1064"/>
  </r>
  <r>
    <n v="264"/>
    <d v="2024-01-25T00:00:00"/>
    <x v="1"/>
    <x v="0"/>
    <s v="Jan"/>
    <x v="2"/>
    <x v="2"/>
    <x v="3"/>
    <n v="5"/>
    <n v="1073"/>
    <n v="0.05"/>
    <n v="5096.75"/>
    <n v="1047"/>
  </r>
  <r>
    <n v="265"/>
    <d v="2024-06-03T00:00:00"/>
    <x v="4"/>
    <x v="0"/>
    <s v="Jun"/>
    <x v="2"/>
    <x v="2"/>
    <x v="3"/>
    <n v="6"/>
    <n v="1281"/>
    <n v="0.05"/>
    <n v="7301.7"/>
    <n v="1064"/>
  </r>
  <r>
    <n v="266"/>
    <d v="2024-05-01T00:00:00"/>
    <x v="5"/>
    <x v="0"/>
    <s v="May"/>
    <x v="2"/>
    <x v="1"/>
    <x v="1"/>
    <n v="1"/>
    <n v="1222"/>
    <n v="0.1"/>
    <n v="1099.8"/>
    <n v="1019"/>
  </r>
  <r>
    <n v="267"/>
    <d v="2024-02-11T00:00:00"/>
    <x v="0"/>
    <x v="0"/>
    <s v="Feb"/>
    <x v="2"/>
    <x v="0"/>
    <x v="6"/>
    <n v="3"/>
    <n v="2786"/>
    <n v="0.1"/>
    <n v="7522.2"/>
    <n v="1078"/>
  </r>
  <r>
    <n v="268"/>
    <d v="2024-05-24T00:00:00"/>
    <x v="5"/>
    <x v="0"/>
    <s v="May"/>
    <x v="3"/>
    <x v="0"/>
    <x v="5"/>
    <n v="10"/>
    <n v="2855"/>
    <n v="0.15"/>
    <n v="24267.5"/>
    <n v="1060"/>
  </r>
  <r>
    <n v="269"/>
    <d v="2024-05-29T00:00:00"/>
    <x v="5"/>
    <x v="0"/>
    <s v="May"/>
    <x v="3"/>
    <x v="1"/>
    <x v="8"/>
    <n v="6"/>
    <n v="997"/>
    <n v="0.15"/>
    <n v="5084.7"/>
    <n v="1092"/>
  </r>
  <r>
    <n v="270"/>
    <d v="2024-03-08T00:00:00"/>
    <x v="2"/>
    <x v="0"/>
    <s v="Mar"/>
    <x v="0"/>
    <x v="0"/>
    <x v="6"/>
    <n v="1"/>
    <n v="4989"/>
    <n v="0.15"/>
    <n v="4240.6499999999996"/>
    <n v="1092"/>
  </r>
  <r>
    <n v="271"/>
    <d v="2024-02-07T00:00:00"/>
    <x v="0"/>
    <x v="0"/>
    <s v="Feb"/>
    <x v="0"/>
    <x v="1"/>
    <x v="9"/>
    <n v="3"/>
    <n v="4394"/>
    <n v="0.15"/>
    <n v="11204.7"/>
    <n v="1004"/>
  </r>
  <r>
    <n v="272"/>
    <d v="2024-04-22T00:00:00"/>
    <x v="3"/>
    <x v="0"/>
    <s v="Apr"/>
    <x v="3"/>
    <x v="0"/>
    <x v="6"/>
    <n v="2"/>
    <n v="1662"/>
    <n v="0"/>
    <n v="3324"/>
    <n v="1053"/>
  </r>
  <r>
    <n v="273"/>
    <d v="2024-01-16T00:00:00"/>
    <x v="1"/>
    <x v="0"/>
    <s v="Jan"/>
    <x v="0"/>
    <x v="1"/>
    <x v="9"/>
    <n v="4"/>
    <n v="3461"/>
    <n v="0.15"/>
    <n v="11767.4"/>
    <n v="1066"/>
  </r>
  <r>
    <n v="274"/>
    <d v="2024-03-21T00:00:00"/>
    <x v="2"/>
    <x v="0"/>
    <s v="Mar"/>
    <x v="0"/>
    <x v="1"/>
    <x v="8"/>
    <n v="8"/>
    <n v="4404"/>
    <n v="0.15"/>
    <n v="29947.200000000001"/>
    <n v="1058"/>
  </r>
  <r>
    <n v="275"/>
    <d v="2024-06-05T00:00:00"/>
    <x v="4"/>
    <x v="0"/>
    <s v="Jun"/>
    <x v="2"/>
    <x v="0"/>
    <x v="5"/>
    <n v="9"/>
    <n v="3002"/>
    <n v="0.1"/>
    <n v="24316.2"/>
    <n v="1024"/>
  </r>
  <r>
    <n v="276"/>
    <d v="2024-03-17T00:00:00"/>
    <x v="2"/>
    <x v="0"/>
    <s v="Mar"/>
    <x v="3"/>
    <x v="1"/>
    <x v="8"/>
    <n v="9"/>
    <n v="2545"/>
    <n v="0.05"/>
    <n v="21759.75"/>
    <n v="1090"/>
  </r>
  <r>
    <n v="277"/>
    <d v="2024-05-23T00:00:00"/>
    <x v="5"/>
    <x v="0"/>
    <s v="May"/>
    <x v="3"/>
    <x v="1"/>
    <x v="9"/>
    <n v="6"/>
    <n v="4030"/>
    <n v="0.1"/>
    <n v="21762"/>
    <n v="1036"/>
  </r>
  <r>
    <n v="278"/>
    <d v="2024-03-15T00:00:00"/>
    <x v="2"/>
    <x v="0"/>
    <s v="Mar"/>
    <x v="1"/>
    <x v="1"/>
    <x v="9"/>
    <n v="7"/>
    <n v="2927"/>
    <n v="0.05"/>
    <n v="19464.55"/>
    <n v="1036"/>
  </r>
  <r>
    <n v="279"/>
    <d v="2024-05-02T00:00:00"/>
    <x v="5"/>
    <x v="0"/>
    <s v="May"/>
    <x v="0"/>
    <x v="0"/>
    <x v="0"/>
    <n v="6"/>
    <n v="3723"/>
    <n v="0.1"/>
    <n v="20104.2"/>
    <n v="1025"/>
  </r>
  <r>
    <n v="280"/>
    <d v="2024-01-28T00:00:00"/>
    <x v="1"/>
    <x v="0"/>
    <s v="Jan"/>
    <x v="0"/>
    <x v="0"/>
    <x v="5"/>
    <n v="9"/>
    <n v="2325"/>
    <n v="0.05"/>
    <n v="19878.75"/>
    <n v="1031"/>
  </r>
  <r>
    <n v="281"/>
    <d v="2024-04-15T00:00:00"/>
    <x v="3"/>
    <x v="0"/>
    <s v="Apr"/>
    <x v="3"/>
    <x v="1"/>
    <x v="7"/>
    <n v="4"/>
    <n v="530"/>
    <n v="0"/>
    <n v="2120"/>
    <n v="1091"/>
  </r>
  <r>
    <n v="282"/>
    <d v="2024-04-14T00:00:00"/>
    <x v="3"/>
    <x v="0"/>
    <s v="Apr"/>
    <x v="2"/>
    <x v="2"/>
    <x v="2"/>
    <n v="3"/>
    <n v="142"/>
    <n v="0.05"/>
    <n v="404.7"/>
    <n v="1061"/>
  </r>
  <r>
    <n v="283"/>
    <d v="2024-06-14T00:00:00"/>
    <x v="4"/>
    <x v="0"/>
    <s v="Jun"/>
    <x v="1"/>
    <x v="0"/>
    <x v="0"/>
    <n v="5"/>
    <n v="2731"/>
    <n v="0.1"/>
    <n v="12289.5"/>
    <n v="1098"/>
  </r>
  <r>
    <n v="284"/>
    <d v="2024-04-16T00:00:00"/>
    <x v="3"/>
    <x v="0"/>
    <s v="Apr"/>
    <x v="0"/>
    <x v="1"/>
    <x v="7"/>
    <n v="9"/>
    <n v="405"/>
    <n v="0.05"/>
    <n v="3462.75"/>
    <n v="1004"/>
  </r>
  <r>
    <n v="285"/>
    <d v="2024-01-03T00:00:00"/>
    <x v="1"/>
    <x v="0"/>
    <s v="Jan"/>
    <x v="3"/>
    <x v="2"/>
    <x v="4"/>
    <n v="3"/>
    <n v="2471"/>
    <n v="0"/>
    <n v="7413"/>
    <n v="1072"/>
  </r>
  <r>
    <n v="286"/>
    <d v="2024-06-13T00:00:00"/>
    <x v="4"/>
    <x v="0"/>
    <s v="Jun"/>
    <x v="2"/>
    <x v="0"/>
    <x v="0"/>
    <n v="6"/>
    <n v="2431"/>
    <n v="0.15"/>
    <n v="12398.1"/>
    <n v="1017"/>
  </r>
  <r>
    <n v="287"/>
    <d v="2024-03-25T00:00:00"/>
    <x v="2"/>
    <x v="0"/>
    <s v="Mar"/>
    <x v="0"/>
    <x v="0"/>
    <x v="5"/>
    <n v="5"/>
    <n v="1679"/>
    <n v="0"/>
    <n v="8395"/>
    <n v="1093"/>
  </r>
  <r>
    <n v="288"/>
    <d v="2024-03-27T00:00:00"/>
    <x v="2"/>
    <x v="0"/>
    <s v="Mar"/>
    <x v="3"/>
    <x v="2"/>
    <x v="3"/>
    <n v="5"/>
    <n v="1625"/>
    <n v="0"/>
    <n v="8125"/>
    <n v="1072"/>
  </r>
  <r>
    <n v="289"/>
    <d v="2024-05-11T00:00:00"/>
    <x v="5"/>
    <x v="0"/>
    <s v="May"/>
    <x v="3"/>
    <x v="0"/>
    <x v="0"/>
    <n v="3"/>
    <n v="3421"/>
    <n v="0.15"/>
    <n v="8723.5499999999993"/>
    <n v="1011"/>
  </r>
  <r>
    <n v="290"/>
    <d v="2024-05-02T00:00:00"/>
    <x v="5"/>
    <x v="0"/>
    <s v="May"/>
    <x v="3"/>
    <x v="2"/>
    <x v="3"/>
    <n v="2"/>
    <n v="1613"/>
    <n v="0.05"/>
    <n v="3064.7"/>
    <n v="1031"/>
  </r>
  <r>
    <n v="291"/>
    <d v="2024-03-09T00:00:00"/>
    <x v="2"/>
    <x v="0"/>
    <s v="Mar"/>
    <x v="3"/>
    <x v="1"/>
    <x v="8"/>
    <n v="7"/>
    <n v="2029"/>
    <n v="0.15"/>
    <n v="12072.55"/>
    <n v="1038"/>
  </r>
  <r>
    <n v="292"/>
    <d v="2024-06-16T00:00:00"/>
    <x v="4"/>
    <x v="0"/>
    <s v="Jun"/>
    <x v="3"/>
    <x v="0"/>
    <x v="6"/>
    <n v="10"/>
    <n v="193"/>
    <n v="0.1"/>
    <n v="1737"/>
    <n v="1088"/>
  </r>
  <r>
    <n v="293"/>
    <d v="2024-02-10T00:00:00"/>
    <x v="0"/>
    <x v="0"/>
    <s v="Feb"/>
    <x v="2"/>
    <x v="1"/>
    <x v="1"/>
    <n v="2"/>
    <n v="3912"/>
    <n v="0.1"/>
    <n v="7041.6"/>
    <n v="1087"/>
  </r>
  <r>
    <n v="294"/>
    <d v="2024-04-04T00:00:00"/>
    <x v="3"/>
    <x v="0"/>
    <s v="Apr"/>
    <x v="0"/>
    <x v="0"/>
    <x v="6"/>
    <n v="5"/>
    <n v="1061"/>
    <n v="0.1"/>
    <n v="4774.5"/>
    <n v="1028"/>
  </r>
  <r>
    <n v="295"/>
    <d v="2024-04-16T00:00:00"/>
    <x v="3"/>
    <x v="0"/>
    <s v="Apr"/>
    <x v="2"/>
    <x v="1"/>
    <x v="9"/>
    <n v="3"/>
    <n v="3827"/>
    <n v="0.1"/>
    <n v="10332.9"/>
    <n v="1096"/>
  </r>
  <r>
    <n v="296"/>
    <d v="2024-05-14T00:00:00"/>
    <x v="5"/>
    <x v="0"/>
    <s v="May"/>
    <x v="2"/>
    <x v="0"/>
    <x v="6"/>
    <n v="4"/>
    <n v="2127"/>
    <n v="0"/>
    <n v="8508"/>
    <n v="1067"/>
  </r>
  <r>
    <n v="297"/>
    <d v="2024-01-16T00:00:00"/>
    <x v="1"/>
    <x v="0"/>
    <s v="Jan"/>
    <x v="0"/>
    <x v="0"/>
    <x v="5"/>
    <n v="2"/>
    <n v="4721"/>
    <n v="0"/>
    <n v="9442"/>
    <n v="1073"/>
  </r>
  <r>
    <n v="298"/>
    <d v="2024-01-30T00:00:00"/>
    <x v="1"/>
    <x v="0"/>
    <s v="Jan"/>
    <x v="0"/>
    <x v="0"/>
    <x v="0"/>
    <n v="3"/>
    <n v="2787"/>
    <n v="0.15"/>
    <n v="7106.85"/>
    <n v="1091"/>
  </r>
  <r>
    <n v="299"/>
    <d v="2024-01-15T00:00:00"/>
    <x v="1"/>
    <x v="0"/>
    <s v="Jan"/>
    <x v="2"/>
    <x v="0"/>
    <x v="5"/>
    <n v="2"/>
    <n v="4280"/>
    <n v="0.15"/>
    <n v="7276"/>
    <n v="1016"/>
  </r>
  <r>
    <n v="300"/>
    <d v="2024-05-23T00:00:00"/>
    <x v="5"/>
    <x v="0"/>
    <s v="May"/>
    <x v="2"/>
    <x v="0"/>
    <x v="5"/>
    <n v="8"/>
    <n v="4719"/>
    <n v="0"/>
    <n v="37752"/>
    <n v="10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48288B-174C-44D2-8C2D-A19296E9526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C27" firstHeaderRow="1" firstDataRow="1" firstDataCol="1"/>
  <pivotFields count="13">
    <pivotField showAll="0"/>
    <pivotField numFmtId="164" showAll="0"/>
    <pivotField showAll="0"/>
    <pivotField showAll="0">
      <items count="2">
        <item x="0"/>
        <item t="default"/>
      </items>
    </pivotField>
    <pivotField showAll="0"/>
    <pivotField axis="axisRow" showAll="0">
      <items count="5">
        <item x="3"/>
        <item x="1"/>
        <item x="0"/>
        <item x="2"/>
        <item t="default"/>
      </items>
    </pivotField>
    <pivotField showAll="0"/>
    <pivotField showAll="0"/>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88A045-FCD6-427E-A81D-15F186C93B98}"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H24" firstHeaderRow="1" firstDataRow="1" firstDataCol="0"/>
  <pivotFields count="13">
    <pivotField showAll="0"/>
    <pivotField numFmtId="164" showAll="0"/>
    <pivotField showAll="0"/>
    <pivotField showAll="0">
      <items count="2">
        <item x="0"/>
        <item t="default"/>
      </items>
    </pivotField>
    <pivotField showAll="0"/>
    <pivotField showAll="0">
      <items count="5">
        <item x="3"/>
        <item x="1"/>
        <item x="0"/>
        <item x="2"/>
        <item t="default"/>
      </items>
    </pivotField>
    <pivotField showAll="0">
      <items count="4">
        <item x="1"/>
        <item x="2"/>
        <item x="0"/>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19EFD6-8F52-489E-A858-B6E32162C9E5}"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Total Sales" fld="0" baseField="0" baseItem="0" numFmtId="1"/>
    <dataField name="Count of Order_ID" fld="1" subtotal="count" baseField="0" baseItem="1"/>
    <dataField name="Total customer" fld="3" subtotal="count" baseField="0" baseItem="2">
      <extLst>
        <ext xmlns:x15="http://schemas.microsoft.com/office/spreadsheetml/2010/11/main" uri="{FABC7310-3BB5-11E1-824E-6D434824019B}">
          <x15:dataField isCountDistinct="1"/>
        </ext>
      </extLst>
    </dataField>
    <dataField name="Total  QuantitySold" fld="2" baseField="0" baseItem="3"/>
    <dataField name="Average order value" fld="4" subtotal="average" baseField="0" baseItem="4" numFmtId="1"/>
  </dataFields>
  <formats count="2">
    <format dxfId="2">
      <pivotArea dataOnly="0" labelOnly="1" outline="0" fieldPosition="0">
        <references count="1">
          <reference field="4294967294" count="1">
            <x v="4"/>
          </reference>
        </references>
      </pivotArea>
    </format>
    <format dxfId="1">
      <pivotArea outline="0" fieldPosition="0">
        <references count="1">
          <reference field="4294967294" count="1">
            <x v="4"/>
          </reference>
        </references>
      </pivotArea>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Count of Order_ID"/>
    <pivotHierarchy dragToData="1"/>
    <pivotHierarchy dragToData="1" caption="Total  QuantitySold"/>
    <pivotHierarchy dragToData="1" caption="Total customer"/>
    <pivotHierarchy dragToData="1" caption="Average order value"/>
  </pivotHierarchies>
  <pivotTableStyleInfo name="PivotStyleLight16" showRowHeaders="0"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_Sales_Data_CLEAN.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B6542E-B336-4522-BBE6-B9E02E8732A1}"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3" firstHeaderRow="1" firstDataRow="1" firstDataCol="1"/>
  <pivotFields count="13">
    <pivotField showAll="0"/>
    <pivotField numFmtId="164" showAll="0"/>
    <pivotField showAll="0"/>
    <pivotField showAll="0">
      <items count="2">
        <item x="0"/>
        <item t="default"/>
      </items>
    </pivotField>
    <pivotField showAll="0"/>
    <pivotField showAll="0">
      <items count="5">
        <item x="3"/>
        <item x="1"/>
        <item x="0"/>
        <item x="2"/>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_Amount" fld="11"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2"/>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27BBAA-E6C1-4B5D-B872-F5D2947E13D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i>
    <i>
      <x v="1"/>
    </i>
    <i>
      <x v="3"/>
    </i>
    <i t="grand">
      <x/>
    </i>
  </rowItems>
  <colItems count="1">
    <i/>
  </colItems>
  <dataFields count="1">
    <dataField name="Total Sales"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_Sales_Data_CLEAN.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621570-D064-40D2-8109-05B48A0DE73E}"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L18:M25" firstHeaderRow="1" firstDataRow="1" firstDataCol="1"/>
  <pivotFields count="13">
    <pivotField showAll="0"/>
    <pivotField numFmtId="164" showAll="0"/>
    <pivotField axis="axisRow" showAll="0">
      <items count="7">
        <item x="3"/>
        <item x="0"/>
        <item x="1"/>
        <item x="4"/>
        <item x="2"/>
        <item x="5"/>
        <item t="default"/>
      </items>
    </pivotField>
    <pivotField showAll="0">
      <items count="2">
        <item x="0"/>
        <item t="default"/>
      </items>
    </pivotField>
    <pivotField showAll="0"/>
    <pivotField showAll="0">
      <items count="5">
        <item x="3"/>
        <item x="1"/>
        <item x="0"/>
        <item x="2"/>
        <item t="default"/>
      </items>
    </pivotField>
    <pivotField showAll="0">
      <items count="4">
        <item x="1"/>
        <item x="2"/>
        <item x="0"/>
        <item t="default"/>
      </items>
    </pivotField>
    <pivotField showAll="0"/>
    <pivotField showAll="0"/>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Sum of Sales_Amount" fld="11" baseField="0" baseItem="0"/>
  </dataFields>
  <chartFormats count="5">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534B9B-164B-44A0-AD1C-25172A7F8C46}"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M13" firstHeaderRow="1" firstDataRow="1" firstDataCol="1"/>
  <pivotFields count="13">
    <pivotField showAll="0"/>
    <pivotField numFmtId="164" showAll="0"/>
    <pivotField showAll="0"/>
    <pivotField showAll="0">
      <items count="2">
        <item x="0"/>
        <item t="default"/>
      </items>
    </pivotField>
    <pivotField showAll="0"/>
    <pivotField showAll="0">
      <items count="5">
        <item x="3"/>
        <item x="1"/>
        <item x="0"/>
        <item x="2"/>
        <item t="default"/>
      </items>
    </pivotField>
    <pivotField showAll="0">
      <items count="4">
        <item x="1"/>
        <item x="2"/>
        <item x="0"/>
        <item t="default"/>
      </items>
    </pivotField>
    <pivotField axis="axisRow" showAll="0" measureFilter="1" sortType="ascending">
      <items count="11">
        <item x="3"/>
        <item x="2"/>
        <item x="8"/>
        <item x="1"/>
        <item x="9"/>
        <item x="7"/>
        <item x="5"/>
        <item x="0"/>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7"/>
  </rowFields>
  <rowItems count="11">
    <i>
      <x v="5"/>
    </i>
    <i>
      <x v="3"/>
    </i>
    <i>
      <x v="9"/>
    </i>
    <i>
      <x v="2"/>
    </i>
    <i>
      <x v="8"/>
    </i>
    <i>
      <x v="6"/>
    </i>
    <i>
      <x v="4"/>
    </i>
    <i>
      <x v="7"/>
    </i>
    <i>
      <x/>
    </i>
    <i>
      <x v="1"/>
    </i>
    <i t="grand">
      <x/>
    </i>
  </rowItems>
  <colItems count="1">
    <i/>
  </colItems>
  <dataFields count="1">
    <dataField name="Sum of Sales_Amount" fld="11"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4E95871-F12C-45E8-8D83-1CBC08A00FB7}" sourceName="Year">
  <pivotTables>
    <pivotTable tabId="4" name="PivotTable13"/>
    <pivotTable tabId="6" name="PivotTable10"/>
    <pivotTable tabId="6" name="PivotTable11"/>
    <pivotTable tabId="6" name="PivotTable12"/>
    <pivotTable tabId="4" name="PivotTable1"/>
  </pivotTables>
  <data>
    <tabular pivotCacheId="44373296">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81FA34-00F9-4653-8A55-FDA8A89F6F51}" sourceName="Region">
  <pivotTables>
    <pivotTable tabId="4" name="PivotTable13"/>
    <pivotTable tabId="6" name="PivotTable10"/>
    <pivotTable tabId="6" name="PivotTable11"/>
    <pivotTable tabId="6" name="PivotTable12"/>
  </pivotTables>
  <data>
    <tabular pivotCacheId="4437329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065DF3-79AA-47A6-A193-1A9FCF5A3529}" sourceName="Category">
  <pivotTables>
    <pivotTable tabId="4" name="PivotTable13"/>
    <pivotTable tabId="6" name="PivotTable10"/>
    <pivotTable tabId="6" name="PivotTable11"/>
    <pivotTable tabId="6" name="PivotTable12"/>
  </pivotTables>
  <data>
    <tabular pivotCacheId="4437329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00F1CFA-D98E-429C-8EE0-275BF84171DD}" cache="Slicer_Year" caption="Year" rowHeight="234950"/>
  <slicer name="Region" xr10:uid="{41B13EFA-3973-44F5-993A-48C409C8C6A8}" cache="Slicer_Region" caption="Region" rowHeight="234950"/>
  <slicer name="Category" xr10:uid="{93967C73-369A-443F-8FD5-A2C87F09C87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5F60140-FE3F-465D-AD95-16DD46DCFF0B}" cache="Slicer_Year" caption="Year" rowHeight="234950"/>
  <slicer name="Region 1" xr10:uid="{C66CA9BF-B1FC-40B8-B666-121D8F7A843F}" cache="Slicer_Region" caption="Region" rowHeight="234950"/>
  <slicer name="Category 1" xr10:uid="{7DC009EF-5D73-438E-98B5-7F9872FE410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EEE086-5251-49FE-8FC5-76F8B6763DBE}" name="Sales_Data" displayName="Sales_Data" ref="A1:M301" totalsRowShown="0" headerRowDxfId="9" headerRowBorderDxfId="8" tableBorderDxfId="7">
  <autoFilter ref="A1:M301" xr:uid="{CDEEE086-5251-49FE-8FC5-76F8B6763DBE}"/>
  <tableColumns count="13">
    <tableColumn id="1" xr3:uid="{C2F22A3D-FED5-4E88-98B4-BB7CC8807144}" name="Order_ID"/>
    <tableColumn id="2" xr3:uid="{9BC2A866-18C0-409B-AC37-8D00701EE8F8}" name="Order_Date" dataDxfId="6"/>
    <tableColumn id="14" xr3:uid="{CD746E24-2123-49C0-BE4F-F228CA23B01D}" name="Month_Year" dataDxfId="5">
      <calculatedColumnFormula>TEXT(Sales_Data[[#This Row],[Order_Date]],"mmm-yyyy")</calculatedColumnFormula>
    </tableColumn>
    <tableColumn id="13" xr3:uid="{8570B5C0-5398-4B17-BA1F-62AE77867479}" name="Year" dataDxfId="4">
      <calculatedColumnFormula>TEXT(Sales_Data[[#This Row],[Order_Date]],"yyy")</calculatedColumnFormula>
    </tableColumn>
    <tableColumn id="12" xr3:uid="{9E3BF344-B57A-4651-9054-05A2847AEAD4}" name="Month" dataDxfId="3">
      <calculatedColumnFormula>TEXT(Sales_Data[[#This Row],[Order_Date]],"mmm")</calculatedColumnFormula>
    </tableColumn>
    <tableColumn id="3" xr3:uid="{9E59417B-5D78-4BB8-8929-BCBC00B0D2C4}" name="Region"/>
    <tableColumn id="4" xr3:uid="{8B4251D5-2964-4202-8A77-65F0409561D4}" name="Category"/>
    <tableColumn id="5" xr3:uid="{1B5CC372-1770-44FA-807B-19F277D011CB}" name="Product"/>
    <tableColumn id="6" xr3:uid="{C9F81E55-C4E1-43E7-874B-A3A358E81652}" name="Quantity"/>
    <tableColumn id="7" xr3:uid="{25222276-1D3B-40A4-A4FA-5C523649A382}" name="Unit_Price"/>
    <tableColumn id="8" xr3:uid="{B955C052-A63F-4CCE-B32E-73040676FDA5}" name="Discount"/>
    <tableColumn id="9" xr3:uid="{011A5CA8-3D58-4CAE-914A-78DA2875F77D}" name="Sales_Amount"/>
    <tableColumn id="10" xr3:uid="{9ABB8141-486F-4D22-9C45-60590170E72D}" name="Customer_ID"/>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abSelected="1" workbookViewId="0">
      <selection activeCell="L3" sqref="L3"/>
    </sheetView>
  </sheetViews>
  <sheetFormatPr defaultRowHeight="13.8" x14ac:dyDescent="0.25"/>
  <cols>
    <col min="1" max="1" width="10.3984375" customWidth="1"/>
    <col min="2" max="3" width="21.69921875" style="4" customWidth="1"/>
    <col min="4" max="4" width="14.296875" style="4" customWidth="1"/>
    <col min="5" max="5" width="11.3984375" customWidth="1"/>
    <col min="6" max="6" width="9.5" customWidth="1"/>
    <col min="7" max="7" width="10.09765625" customWidth="1"/>
    <col min="8" max="8" width="11.5" customWidth="1"/>
    <col min="9" max="9" width="10.09765625" customWidth="1"/>
    <col min="10" max="10" width="14.8984375" customWidth="1"/>
    <col min="11" max="11" width="13.69921875" customWidth="1"/>
    <col min="13" max="13" width="10.796875" customWidth="1"/>
  </cols>
  <sheetData>
    <row r="1" spans="1:13" x14ac:dyDescent="0.25">
      <c r="A1" s="1" t="s">
        <v>0</v>
      </c>
      <c r="B1" s="3" t="s">
        <v>1</v>
      </c>
      <c r="C1" t="s">
        <v>29</v>
      </c>
      <c r="D1" s="3" t="s">
        <v>28</v>
      </c>
      <c r="E1" s="3" t="s">
        <v>27</v>
      </c>
      <c r="F1" s="2" t="s">
        <v>2</v>
      </c>
      <c r="G1" s="2" t="s">
        <v>3</v>
      </c>
      <c r="H1" s="2" t="s">
        <v>4</v>
      </c>
      <c r="I1" s="1" t="s">
        <v>5</v>
      </c>
      <c r="J1" s="1" t="s">
        <v>6</v>
      </c>
      <c r="K1" s="1" t="s">
        <v>7</v>
      </c>
      <c r="L1" s="1" t="s">
        <v>8</v>
      </c>
      <c r="M1" s="1" t="s">
        <v>9</v>
      </c>
    </row>
    <row r="2" spans="1:13" x14ac:dyDescent="0.25">
      <c r="A2">
        <v>1</v>
      </c>
      <c r="B2" s="4">
        <v>45349</v>
      </c>
      <c r="C2" s="4" t="str">
        <f>TEXT(Sales_Data[[#This Row],[Order_Date]],"mmm-yyyy")</f>
        <v>Feb-2024</v>
      </c>
      <c r="D2" s="4" t="str">
        <f>TEXT(Sales_Data[[#This Row],[Order_Date]],"yyy")</f>
        <v>2024</v>
      </c>
      <c r="E2" s="4" t="str">
        <f>TEXT(Sales_Data[[#This Row],[Order_Date]],"mmm")</f>
        <v>Feb</v>
      </c>
      <c r="F2" t="s">
        <v>10</v>
      </c>
      <c r="G2" t="s">
        <v>14</v>
      </c>
      <c r="H2" t="s">
        <v>17</v>
      </c>
      <c r="I2">
        <v>1</v>
      </c>
      <c r="J2">
        <v>2353</v>
      </c>
      <c r="K2">
        <v>0.05</v>
      </c>
      <c r="L2">
        <v>2235.35</v>
      </c>
      <c r="M2">
        <v>1094</v>
      </c>
    </row>
    <row r="3" spans="1:13" x14ac:dyDescent="0.25">
      <c r="A3">
        <v>2</v>
      </c>
      <c r="B3" s="4">
        <v>45299</v>
      </c>
      <c r="C3" s="4" t="str">
        <f>TEXT(Sales_Data[[#This Row],[Order_Date]],"mmm-yyyy")</f>
        <v>Jan-2024</v>
      </c>
      <c r="D3" s="4" t="str">
        <f>TEXT(Sales_Data[[#This Row],[Order_Date]],"yyy")</f>
        <v>2024</v>
      </c>
      <c r="E3" s="4" t="str">
        <f>TEXT(Sales_Data[[#This Row],[Order_Date]],"mmm")</f>
        <v>Jan</v>
      </c>
      <c r="F3" t="s">
        <v>11</v>
      </c>
      <c r="G3" t="s">
        <v>15</v>
      </c>
      <c r="H3" t="s">
        <v>18</v>
      </c>
      <c r="I3">
        <v>10</v>
      </c>
      <c r="J3">
        <v>3556</v>
      </c>
      <c r="K3">
        <v>0</v>
      </c>
      <c r="L3">
        <v>35560</v>
      </c>
      <c r="M3">
        <v>1027</v>
      </c>
    </row>
    <row r="4" spans="1:13" x14ac:dyDescent="0.25">
      <c r="A4">
        <v>3</v>
      </c>
      <c r="B4" s="4">
        <v>45348</v>
      </c>
      <c r="C4" s="4" t="str">
        <f>TEXT(Sales_Data[[#This Row],[Order_Date]],"mmm-yyyy")</f>
        <v>Feb-2024</v>
      </c>
      <c r="D4" s="4" t="str">
        <f>TEXT(Sales_Data[[#This Row],[Order_Date]],"yyy")</f>
        <v>2024</v>
      </c>
      <c r="E4" s="4" t="str">
        <f>TEXT(Sales_Data[[#This Row],[Order_Date]],"mmm")</f>
        <v>Feb</v>
      </c>
      <c r="F4" t="s">
        <v>12</v>
      </c>
      <c r="G4" t="s">
        <v>15</v>
      </c>
      <c r="H4" t="s">
        <v>18</v>
      </c>
      <c r="I4">
        <v>9</v>
      </c>
      <c r="J4">
        <v>1728</v>
      </c>
      <c r="K4">
        <v>0.15</v>
      </c>
      <c r="L4">
        <v>13219.2</v>
      </c>
      <c r="M4">
        <v>1075</v>
      </c>
    </row>
    <row r="5" spans="1:13" x14ac:dyDescent="0.25">
      <c r="A5">
        <v>4</v>
      </c>
      <c r="B5" s="4">
        <v>45363</v>
      </c>
      <c r="C5" s="4" t="str">
        <f>TEXT(Sales_Data[[#This Row],[Order_Date]],"mmm-yyyy")</f>
        <v>Mar-2024</v>
      </c>
      <c r="D5" s="4" t="str">
        <f>TEXT(Sales_Data[[#This Row],[Order_Date]],"yyy")</f>
        <v>2024</v>
      </c>
      <c r="E5" s="4" t="str">
        <f>TEXT(Sales_Data[[#This Row],[Order_Date]],"mmm")</f>
        <v>Mar</v>
      </c>
      <c r="F5" t="s">
        <v>10</v>
      </c>
      <c r="G5" t="s">
        <v>16</v>
      </c>
      <c r="H5" t="s">
        <v>19</v>
      </c>
      <c r="I5">
        <v>3</v>
      </c>
      <c r="J5">
        <v>3562</v>
      </c>
      <c r="K5">
        <v>0.1</v>
      </c>
      <c r="L5">
        <v>9617.4</v>
      </c>
      <c r="M5">
        <v>1027</v>
      </c>
    </row>
    <row r="6" spans="1:13" x14ac:dyDescent="0.25">
      <c r="A6">
        <v>5</v>
      </c>
      <c r="B6" s="4">
        <v>45383</v>
      </c>
      <c r="C6" s="4" t="str">
        <f>TEXT(Sales_Data[[#This Row],[Order_Date]],"mmm-yyyy")</f>
        <v>Apr-2024</v>
      </c>
      <c r="D6" s="4" t="str">
        <f>TEXT(Sales_Data[[#This Row],[Order_Date]],"yyy")</f>
        <v>2024</v>
      </c>
      <c r="E6" s="4" t="str">
        <f>TEXT(Sales_Data[[#This Row],[Order_Date]],"mmm")</f>
        <v>Apr</v>
      </c>
      <c r="F6" t="s">
        <v>13</v>
      </c>
      <c r="G6" t="s">
        <v>16</v>
      </c>
      <c r="H6" t="s">
        <v>19</v>
      </c>
      <c r="I6">
        <v>2</v>
      </c>
      <c r="J6">
        <v>3212</v>
      </c>
      <c r="K6">
        <v>0</v>
      </c>
      <c r="L6">
        <v>6424</v>
      </c>
      <c r="M6">
        <v>1077</v>
      </c>
    </row>
    <row r="7" spans="1:13" x14ac:dyDescent="0.25">
      <c r="A7">
        <v>6</v>
      </c>
      <c r="B7" s="4">
        <v>45388</v>
      </c>
      <c r="C7" s="4" t="str">
        <f>TEXT(Sales_Data[[#This Row],[Order_Date]],"mmm-yyyy")</f>
        <v>Apr-2024</v>
      </c>
      <c r="D7" s="4" t="str">
        <f>TEXT(Sales_Data[[#This Row],[Order_Date]],"yyy")</f>
        <v>2024</v>
      </c>
      <c r="E7" s="4" t="str">
        <f>TEXT(Sales_Data[[#This Row],[Order_Date]],"mmm")</f>
        <v>Apr</v>
      </c>
      <c r="F7" t="s">
        <v>11</v>
      </c>
      <c r="G7" t="s">
        <v>16</v>
      </c>
      <c r="H7" t="s">
        <v>19</v>
      </c>
      <c r="I7">
        <v>8</v>
      </c>
      <c r="J7">
        <v>4492</v>
      </c>
      <c r="K7">
        <v>0</v>
      </c>
      <c r="L7">
        <v>35936</v>
      </c>
      <c r="M7">
        <v>1070</v>
      </c>
    </row>
    <row r="8" spans="1:13" x14ac:dyDescent="0.25">
      <c r="A8">
        <v>7</v>
      </c>
      <c r="B8" s="4">
        <v>45472</v>
      </c>
      <c r="C8" s="4" t="str">
        <f>TEXT(Sales_Data[[#This Row],[Order_Date]],"mmm-yyyy")</f>
        <v>Jun-2024</v>
      </c>
      <c r="D8" s="4" t="str">
        <f>TEXT(Sales_Data[[#This Row],[Order_Date]],"yyy")</f>
        <v>2024</v>
      </c>
      <c r="E8" s="4" t="str">
        <f>TEXT(Sales_Data[[#This Row],[Order_Date]],"mmm")</f>
        <v>Jun</v>
      </c>
      <c r="F8" t="s">
        <v>11</v>
      </c>
      <c r="G8" t="s">
        <v>16</v>
      </c>
      <c r="H8" t="s">
        <v>20</v>
      </c>
      <c r="I8">
        <v>10</v>
      </c>
      <c r="J8">
        <v>3062</v>
      </c>
      <c r="K8">
        <v>0.05</v>
      </c>
      <c r="L8">
        <v>29089</v>
      </c>
      <c r="M8">
        <v>1005</v>
      </c>
    </row>
    <row r="9" spans="1:13" x14ac:dyDescent="0.25">
      <c r="A9">
        <v>8</v>
      </c>
      <c r="B9" s="4">
        <v>45317</v>
      </c>
      <c r="C9" s="4" t="str">
        <f>TEXT(Sales_Data[[#This Row],[Order_Date]],"mmm-yyyy")</f>
        <v>Jan-2024</v>
      </c>
      <c r="D9" s="4" t="str">
        <f>TEXT(Sales_Data[[#This Row],[Order_Date]],"yyy")</f>
        <v>2024</v>
      </c>
      <c r="E9" s="4" t="str">
        <f>TEXT(Sales_Data[[#This Row],[Order_Date]],"mmm")</f>
        <v>Jan</v>
      </c>
      <c r="F9" t="s">
        <v>12</v>
      </c>
      <c r="G9" t="s">
        <v>14</v>
      </c>
      <c r="H9" t="s">
        <v>17</v>
      </c>
      <c r="I9">
        <v>5</v>
      </c>
      <c r="J9">
        <v>753</v>
      </c>
      <c r="K9">
        <v>0.05</v>
      </c>
      <c r="L9">
        <v>3576.75</v>
      </c>
      <c r="M9">
        <v>1035</v>
      </c>
    </row>
    <row r="10" spans="1:13" x14ac:dyDescent="0.25">
      <c r="A10">
        <v>9</v>
      </c>
      <c r="B10" s="4">
        <v>45382</v>
      </c>
      <c r="C10" s="4" t="str">
        <f>TEXT(Sales_Data[[#This Row],[Order_Date]],"mmm-yyyy")</f>
        <v>Mar-2024</v>
      </c>
      <c r="D10" s="4" t="str">
        <f>TEXT(Sales_Data[[#This Row],[Order_Date]],"yyy")</f>
        <v>2024</v>
      </c>
      <c r="E10" s="4" t="str">
        <f>TEXT(Sales_Data[[#This Row],[Order_Date]],"mmm")</f>
        <v>Mar</v>
      </c>
      <c r="F10" t="s">
        <v>10</v>
      </c>
      <c r="G10" t="s">
        <v>16</v>
      </c>
      <c r="H10" t="s">
        <v>20</v>
      </c>
      <c r="I10">
        <v>6</v>
      </c>
      <c r="J10">
        <v>1432</v>
      </c>
      <c r="K10">
        <v>0.1</v>
      </c>
      <c r="L10">
        <v>7732.8</v>
      </c>
      <c r="M10">
        <v>1085</v>
      </c>
    </row>
    <row r="11" spans="1:13" x14ac:dyDescent="0.25">
      <c r="A11">
        <v>10</v>
      </c>
      <c r="B11" s="4">
        <v>45333</v>
      </c>
      <c r="C11" s="4" t="str">
        <f>TEXT(Sales_Data[[#This Row],[Order_Date]],"mmm-yyyy")</f>
        <v>Feb-2024</v>
      </c>
      <c r="D11" s="4" t="str">
        <f>TEXT(Sales_Data[[#This Row],[Order_Date]],"yyy")</f>
        <v>2024</v>
      </c>
      <c r="E11" s="4" t="str">
        <f>TEXT(Sales_Data[[#This Row],[Order_Date]],"mmm")</f>
        <v>Feb</v>
      </c>
      <c r="F11" t="s">
        <v>12</v>
      </c>
      <c r="G11" t="s">
        <v>16</v>
      </c>
      <c r="H11" t="s">
        <v>20</v>
      </c>
      <c r="I11">
        <v>2</v>
      </c>
      <c r="J11">
        <v>1501</v>
      </c>
      <c r="K11">
        <v>0.05</v>
      </c>
      <c r="L11">
        <v>2851.9</v>
      </c>
      <c r="M11">
        <v>1048</v>
      </c>
    </row>
    <row r="12" spans="1:13" x14ac:dyDescent="0.25">
      <c r="A12">
        <v>11</v>
      </c>
      <c r="B12" s="4">
        <v>45306</v>
      </c>
      <c r="C12" s="4" t="str">
        <f>TEXT(Sales_Data[[#This Row],[Order_Date]],"mmm-yyyy")</f>
        <v>Jan-2024</v>
      </c>
      <c r="D12" s="4" t="str">
        <f>TEXT(Sales_Data[[#This Row],[Order_Date]],"yyy")</f>
        <v>2024</v>
      </c>
      <c r="E12" s="4" t="str">
        <f>TEXT(Sales_Data[[#This Row],[Order_Date]],"mmm")</f>
        <v>Jan</v>
      </c>
      <c r="F12" t="s">
        <v>10</v>
      </c>
      <c r="G12" t="s">
        <v>16</v>
      </c>
      <c r="H12" t="s">
        <v>20</v>
      </c>
      <c r="I12">
        <v>9</v>
      </c>
      <c r="J12">
        <v>1899</v>
      </c>
      <c r="K12">
        <v>0.1</v>
      </c>
      <c r="L12">
        <v>15381.9</v>
      </c>
      <c r="M12">
        <v>1004</v>
      </c>
    </row>
    <row r="13" spans="1:13" x14ac:dyDescent="0.25">
      <c r="A13">
        <v>12</v>
      </c>
      <c r="B13" s="4">
        <v>45437</v>
      </c>
      <c r="C13" s="4" t="str">
        <f>TEXT(Sales_Data[[#This Row],[Order_Date]],"mmm-yyyy")</f>
        <v>May-2024</v>
      </c>
      <c r="D13" s="4" t="str">
        <f>TEXT(Sales_Data[[#This Row],[Order_Date]],"yyy")</f>
        <v>2024</v>
      </c>
      <c r="E13" s="4" t="str">
        <f>TEXT(Sales_Data[[#This Row],[Order_Date]],"mmm")</f>
        <v>May</v>
      </c>
      <c r="F13" t="s">
        <v>13</v>
      </c>
      <c r="G13" t="s">
        <v>16</v>
      </c>
      <c r="H13" t="s">
        <v>21</v>
      </c>
      <c r="I13">
        <v>5</v>
      </c>
      <c r="J13">
        <v>642</v>
      </c>
      <c r="K13">
        <v>0.05</v>
      </c>
      <c r="L13">
        <v>3049.5</v>
      </c>
      <c r="M13">
        <v>1027</v>
      </c>
    </row>
    <row r="14" spans="1:13" x14ac:dyDescent="0.25">
      <c r="A14">
        <v>13</v>
      </c>
      <c r="B14" s="4">
        <v>45359</v>
      </c>
      <c r="C14" s="4" t="str">
        <f>TEXT(Sales_Data[[#This Row],[Order_Date]],"mmm-yyyy")</f>
        <v>Mar-2024</v>
      </c>
      <c r="D14" s="4" t="str">
        <f>TEXT(Sales_Data[[#This Row],[Order_Date]],"yyy")</f>
        <v>2024</v>
      </c>
      <c r="E14" s="4" t="str">
        <f>TEXT(Sales_Data[[#This Row],[Order_Date]],"mmm")</f>
        <v>Mar</v>
      </c>
      <c r="F14" t="s">
        <v>10</v>
      </c>
      <c r="G14" t="s">
        <v>14</v>
      </c>
      <c r="H14" t="s">
        <v>22</v>
      </c>
      <c r="I14">
        <v>7</v>
      </c>
      <c r="J14">
        <v>3858</v>
      </c>
      <c r="K14">
        <v>0.05</v>
      </c>
      <c r="L14">
        <v>25655.7</v>
      </c>
      <c r="M14">
        <v>1031</v>
      </c>
    </row>
    <row r="15" spans="1:13" x14ac:dyDescent="0.25">
      <c r="A15">
        <v>14</v>
      </c>
      <c r="B15" s="4">
        <v>45441</v>
      </c>
      <c r="C15" s="4" t="str">
        <f>TEXT(Sales_Data[[#This Row],[Order_Date]],"mmm-yyyy")</f>
        <v>May-2024</v>
      </c>
      <c r="D15" s="4" t="str">
        <f>TEXT(Sales_Data[[#This Row],[Order_Date]],"yyy")</f>
        <v>2024</v>
      </c>
      <c r="E15" s="4" t="str">
        <f>TEXT(Sales_Data[[#This Row],[Order_Date]],"mmm")</f>
        <v>May</v>
      </c>
      <c r="F15" t="s">
        <v>12</v>
      </c>
      <c r="G15" t="s">
        <v>14</v>
      </c>
      <c r="H15" t="s">
        <v>23</v>
      </c>
      <c r="I15">
        <v>9</v>
      </c>
      <c r="J15">
        <v>2252</v>
      </c>
      <c r="K15">
        <v>0.15</v>
      </c>
      <c r="L15">
        <v>17227.8</v>
      </c>
      <c r="M15">
        <v>1046</v>
      </c>
    </row>
    <row r="16" spans="1:13" x14ac:dyDescent="0.25">
      <c r="A16">
        <v>15</v>
      </c>
      <c r="B16" s="4">
        <v>45304</v>
      </c>
      <c r="C16" s="4" t="str">
        <f>TEXT(Sales_Data[[#This Row],[Order_Date]],"mmm-yyyy")</f>
        <v>Jan-2024</v>
      </c>
      <c r="D16" s="4" t="str">
        <f>TEXT(Sales_Data[[#This Row],[Order_Date]],"yyy")</f>
        <v>2024</v>
      </c>
      <c r="E16" s="4" t="str">
        <f>TEXT(Sales_Data[[#This Row],[Order_Date]],"mmm")</f>
        <v>Jan</v>
      </c>
      <c r="F16" t="s">
        <v>11</v>
      </c>
      <c r="G16" t="s">
        <v>15</v>
      </c>
      <c r="H16" t="s">
        <v>24</v>
      </c>
      <c r="I16">
        <v>9</v>
      </c>
      <c r="J16">
        <v>4142</v>
      </c>
      <c r="K16">
        <v>0</v>
      </c>
      <c r="L16">
        <v>37278</v>
      </c>
      <c r="M16">
        <v>1019</v>
      </c>
    </row>
    <row r="17" spans="1:13" x14ac:dyDescent="0.25">
      <c r="A17">
        <v>16</v>
      </c>
      <c r="B17" s="4">
        <v>45390</v>
      </c>
      <c r="C17" s="4" t="str">
        <f>TEXT(Sales_Data[[#This Row],[Order_Date]],"mmm-yyyy")</f>
        <v>Apr-2024</v>
      </c>
      <c r="D17" s="4" t="str">
        <f>TEXT(Sales_Data[[#This Row],[Order_Date]],"yyy")</f>
        <v>2024</v>
      </c>
      <c r="E17" s="4" t="str">
        <f>TEXT(Sales_Data[[#This Row],[Order_Date]],"mmm")</f>
        <v>Apr</v>
      </c>
      <c r="F17" t="s">
        <v>12</v>
      </c>
      <c r="G17" t="s">
        <v>14</v>
      </c>
      <c r="H17" t="s">
        <v>17</v>
      </c>
      <c r="I17">
        <v>7</v>
      </c>
      <c r="J17">
        <v>4985</v>
      </c>
      <c r="K17">
        <v>0</v>
      </c>
      <c r="L17">
        <v>34895</v>
      </c>
      <c r="M17">
        <v>1076</v>
      </c>
    </row>
    <row r="18" spans="1:13" x14ac:dyDescent="0.25">
      <c r="A18">
        <v>17</v>
      </c>
      <c r="B18" s="4">
        <v>45466</v>
      </c>
      <c r="C18" s="4" t="str">
        <f>TEXT(Sales_Data[[#This Row],[Order_Date]],"mmm-yyyy")</f>
        <v>Jun-2024</v>
      </c>
      <c r="D18" s="4" t="str">
        <f>TEXT(Sales_Data[[#This Row],[Order_Date]],"yyy")</f>
        <v>2024</v>
      </c>
      <c r="E18" s="4" t="str">
        <f>TEXT(Sales_Data[[#This Row],[Order_Date]],"mmm")</f>
        <v>Jun</v>
      </c>
      <c r="F18" t="s">
        <v>11</v>
      </c>
      <c r="G18" t="s">
        <v>16</v>
      </c>
      <c r="H18" t="s">
        <v>20</v>
      </c>
      <c r="I18">
        <v>5</v>
      </c>
      <c r="J18">
        <v>4632</v>
      </c>
      <c r="K18">
        <v>0</v>
      </c>
      <c r="L18">
        <v>23160</v>
      </c>
      <c r="M18">
        <v>1087</v>
      </c>
    </row>
    <row r="19" spans="1:13" x14ac:dyDescent="0.25">
      <c r="A19">
        <v>18</v>
      </c>
      <c r="B19" s="4">
        <v>45403</v>
      </c>
      <c r="C19" s="4" t="str">
        <f>TEXT(Sales_Data[[#This Row],[Order_Date]],"mmm-yyyy")</f>
        <v>Apr-2024</v>
      </c>
      <c r="D19" s="4" t="str">
        <f>TEXT(Sales_Data[[#This Row],[Order_Date]],"yyy")</f>
        <v>2024</v>
      </c>
      <c r="E19" s="4" t="str">
        <f>TEXT(Sales_Data[[#This Row],[Order_Date]],"mmm")</f>
        <v>Apr</v>
      </c>
      <c r="F19" t="s">
        <v>10</v>
      </c>
      <c r="G19" t="s">
        <v>14</v>
      </c>
      <c r="H19" t="s">
        <v>22</v>
      </c>
      <c r="I19">
        <v>6</v>
      </c>
      <c r="J19">
        <v>1013</v>
      </c>
      <c r="K19">
        <v>0.1</v>
      </c>
      <c r="L19">
        <v>5470.2</v>
      </c>
      <c r="M19">
        <v>1058</v>
      </c>
    </row>
    <row r="20" spans="1:13" x14ac:dyDescent="0.25">
      <c r="A20">
        <v>19</v>
      </c>
      <c r="B20" s="4">
        <v>45452</v>
      </c>
      <c r="C20" s="4" t="str">
        <f>TEXT(Sales_Data[[#This Row],[Order_Date]],"mmm-yyyy")</f>
        <v>Jun-2024</v>
      </c>
      <c r="D20" s="4" t="str">
        <f>TEXT(Sales_Data[[#This Row],[Order_Date]],"yyy")</f>
        <v>2024</v>
      </c>
      <c r="E20" s="4" t="str">
        <f>TEXT(Sales_Data[[#This Row],[Order_Date]],"mmm")</f>
        <v>Jun</v>
      </c>
      <c r="F20" t="s">
        <v>13</v>
      </c>
      <c r="G20" t="s">
        <v>15</v>
      </c>
      <c r="H20" t="s">
        <v>25</v>
      </c>
      <c r="I20">
        <v>9</v>
      </c>
      <c r="J20">
        <v>1563</v>
      </c>
      <c r="K20">
        <v>0</v>
      </c>
      <c r="L20">
        <v>14067</v>
      </c>
      <c r="M20">
        <v>1081</v>
      </c>
    </row>
    <row r="21" spans="1:13" x14ac:dyDescent="0.25">
      <c r="A21">
        <v>20</v>
      </c>
      <c r="B21" s="4">
        <v>45333</v>
      </c>
      <c r="C21" s="4" t="str">
        <f>TEXT(Sales_Data[[#This Row],[Order_Date]],"mmm-yyyy")</f>
        <v>Feb-2024</v>
      </c>
      <c r="D21" s="4" t="str">
        <f>TEXT(Sales_Data[[#This Row],[Order_Date]],"yyy")</f>
        <v>2024</v>
      </c>
      <c r="E21" s="4" t="str">
        <f>TEXT(Sales_Data[[#This Row],[Order_Date]],"mmm")</f>
        <v>Feb</v>
      </c>
      <c r="F21" t="s">
        <v>11</v>
      </c>
      <c r="G21" t="s">
        <v>14</v>
      </c>
      <c r="H21" t="s">
        <v>23</v>
      </c>
      <c r="I21">
        <v>4</v>
      </c>
      <c r="J21">
        <v>1352</v>
      </c>
      <c r="K21">
        <v>0.1</v>
      </c>
      <c r="L21">
        <v>4867.2</v>
      </c>
      <c r="M21">
        <v>1076</v>
      </c>
    </row>
    <row r="22" spans="1:13" x14ac:dyDescent="0.25">
      <c r="A22">
        <v>21</v>
      </c>
      <c r="B22" s="4">
        <v>45370</v>
      </c>
      <c r="C22" s="4" t="str">
        <f>TEXT(Sales_Data[[#This Row],[Order_Date]],"mmm-yyyy")</f>
        <v>Mar-2024</v>
      </c>
      <c r="D22" s="4" t="str">
        <f>TEXT(Sales_Data[[#This Row],[Order_Date]],"yyy")</f>
        <v>2024</v>
      </c>
      <c r="E22" s="4" t="str">
        <f>TEXT(Sales_Data[[#This Row],[Order_Date]],"mmm")</f>
        <v>Mar</v>
      </c>
      <c r="F22" t="s">
        <v>10</v>
      </c>
      <c r="G22" t="s">
        <v>16</v>
      </c>
      <c r="H22" t="s">
        <v>21</v>
      </c>
      <c r="I22">
        <v>1</v>
      </c>
      <c r="J22">
        <v>1016</v>
      </c>
      <c r="K22">
        <v>0.1</v>
      </c>
      <c r="L22">
        <v>914.4</v>
      </c>
      <c r="M22">
        <v>1007</v>
      </c>
    </row>
    <row r="23" spans="1:13" x14ac:dyDescent="0.25">
      <c r="A23">
        <v>22</v>
      </c>
      <c r="B23" s="4">
        <v>45428</v>
      </c>
      <c r="C23" s="4" t="str">
        <f>TEXT(Sales_Data[[#This Row],[Order_Date]],"mmm-yyyy")</f>
        <v>May-2024</v>
      </c>
      <c r="D23" s="4" t="str">
        <f>TEXT(Sales_Data[[#This Row],[Order_Date]],"yyy")</f>
        <v>2024</v>
      </c>
      <c r="E23" s="4" t="str">
        <f>TEXT(Sales_Data[[#This Row],[Order_Date]],"mmm")</f>
        <v>May</v>
      </c>
      <c r="F23" t="s">
        <v>10</v>
      </c>
      <c r="G23" t="s">
        <v>15</v>
      </c>
      <c r="H23" t="s">
        <v>18</v>
      </c>
      <c r="I23">
        <v>2</v>
      </c>
      <c r="J23">
        <v>4081</v>
      </c>
      <c r="K23">
        <v>0</v>
      </c>
      <c r="L23">
        <v>8162</v>
      </c>
      <c r="M23">
        <v>1016</v>
      </c>
    </row>
    <row r="24" spans="1:13" x14ac:dyDescent="0.25">
      <c r="A24">
        <v>23</v>
      </c>
      <c r="B24" s="4">
        <v>45427</v>
      </c>
      <c r="C24" s="4" t="str">
        <f>TEXT(Sales_Data[[#This Row],[Order_Date]],"mmm-yyyy")</f>
        <v>May-2024</v>
      </c>
      <c r="D24" s="4" t="str">
        <f>TEXT(Sales_Data[[#This Row],[Order_Date]],"yyy")</f>
        <v>2024</v>
      </c>
      <c r="E24" s="4" t="str">
        <f>TEXT(Sales_Data[[#This Row],[Order_Date]],"mmm")</f>
        <v>May</v>
      </c>
      <c r="F24" t="s">
        <v>12</v>
      </c>
      <c r="G24" t="s">
        <v>14</v>
      </c>
      <c r="H24" t="s">
        <v>22</v>
      </c>
      <c r="I24">
        <v>9</v>
      </c>
      <c r="J24">
        <v>1452</v>
      </c>
      <c r="K24">
        <v>0.1</v>
      </c>
      <c r="L24">
        <v>11761.2</v>
      </c>
      <c r="M24">
        <v>1027</v>
      </c>
    </row>
    <row r="25" spans="1:13" x14ac:dyDescent="0.25">
      <c r="A25">
        <v>24</v>
      </c>
      <c r="B25" s="4">
        <v>45463</v>
      </c>
      <c r="C25" s="4" t="str">
        <f>TEXT(Sales_Data[[#This Row],[Order_Date]],"mmm-yyyy")</f>
        <v>Jun-2024</v>
      </c>
      <c r="D25" s="4" t="str">
        <f>TEXT(Sales_Data[[#This Row],[Order_Date]],"yyy")</f>
        <v>2024</v>
      </c>
      <c r="E25" s="4" t="str">
        <f>TEXT(Sales_Data[[#This Row],[Order_Date]],"mmm")</f>
        <v>Jun</v>
      </c>
      <c r="F25" t="s">
        <v>13</v>
      </c>
      <c r="G25" t="s">
        <v>14</v>
      </c>
      <c r="H25" t="s">
        <v>23</v>
      </c>
      <c r="I25">
        <v>4</v>
      </c>
      <c r="J25">
        <v>2653</v>
      </c>
      <c r="K25">
        <v>0.15</v>
      </c>
      <c r="L25">
        <v>9020.2000000000007</v>
      </c>
      <c r="M25">
        <v>1056</v>
      </c>
    </row>
    <row r="26" spans="1:13" x14ac:dyDescent="0.25">
      <c r="A26">
        <v>25</v>
      </c>
      <c r="B26" s="4">
        <v>45308</v>
      </c>
      <c r="C26" s="4" t="str">
        <f>TEXT(Sales_Data[[#This Row],[Order_Date]],"mmm-yyyy")</f>
        <v>Jan-2024</v>
      </c>
      <c r="D26" s="4" t="str">
        <f>TEXT(Sales_Data[[#This Row],[Order_Date]],"yyy")</f>
        <v>2024</v>
      </c>
      <c r="E26" s="4" t="str">
        <f>TEXT(Sales_Data[[#This Row],[Order_Date]],"mmm")</f>
        <v>Jan</v>
      </c>
      <c r="F26" t="s">
        <v>13</v>
      </c>
      <c r="G26" t="s">
        <v>14</v>
      </c>
      <c r="H26" t="s">
        <v>22</v>
      </c>
      <c r="I26">
        <v>2</v>
      </c>
      <c r="J26">
        <v>2130</v>
      </c>
      <c r="K26">
        <v>0.05</v>
      </c>
      <c r="L26">
        <v>4047</v>
      </c>
      <c r="M26">
        <v>1002</v>
      </c>
    </row>
    <row r="27" spans="1:13" x14ac:dyDescent="0.25">
      <c r="A27">
        <v>26</v>
      </c>
      <c r="B27" s="4">
        <v>45293</v>
      </c>
      <c r="C27" s="4" t="str">
        <f>TEXT(Sales_Data[[#This Row],[Order_Date]],"mmm-yyyy")</f>
        <v>Jan-2024</v>
      </c>
      <c r="D27" s="4" t="str">
        <f>TEXT(Sales_Data[[#This Row],[Order_Date]],"yyy")</f>
        <v>2024</v>
      </c>
      <c r="E27" s="4" t="str">
        <f>TEXT(Sales_Data[[#This Row],[Order_Date]],"mmm")</f>
        <v>Jan</v>
      </c>
      <c r="F27" t="s">
        <v>11</v>
      </c>
      <c r="G27" t="s">
        <v>14</v>
      </c>
      <c r="H27" t="s">
        <v>23</v>
      </c>
      <c r="I27">
        <v>4</v>
      </c>
      <c r="J27">
        <v>4920</v>
      </c>
      <c r="K27">
        <v>0.05</v>
      </c>
      <c r="L27">
        <v>18696</v>
      </c>
      <c r="M27">
        <v>1090</v>
      </c>
    </row>
    <row r="28" spans="1:13" x14ac:dyDescent="0.25">
      <c r="A28">
        <v>27</v>
      </c>
      <c r="B28" s="4">
        <v>45376</v>
      </c>
      <c r="C28" s="4" t="str">
        <f>TEXT(Sales_Data[[#This Row],[Order_Date]],"mmm-yyyy")</f>
        <v>Mar-2024</v>
      </c>
      <c r="D28" s="4" t="str">
        <f>TEXT(Sales_Data[[#This Row],[Order_Date]],"yyy")</f>
        <v>2024</v>
      </c>
      <c r="E28" s="4" t="str">
        <f>TEXT(Sales_Data[[#This Row],[Order_Date]],"mmm")</f>
        <v>Mar</v>
      </c>
      <c r="F28" t="s">
        <v>11</v>
      </c>
      <c r="G28" t="s">
        <v>14</v>
      </c>
      <c r="H28" t="s">
        <v>17</v>
      </c>
      <c r="I28">
        <v>4</v>
      </c>
      <c r="J28">
        <v>652</v>
      </c>
      <c r="K28">
        <v>0</v>
      </c>
      <c r="L28">
        <v>2608</v>
      </c>
      <c r="M28">
        <v>1065</v>
      </c>
    </row>
    <row r="29" spans="1:13" x14ac:dyDescent="0.25">
      <c r="A29">
        <v>28</v>
      </c>
      <c r="B29" s="4">
        <v>45438</v>
      </c>
      <c r="C29" s="4" t="str">
        <f>TEXT(Sales_Data[[#This Row],[Order_Date]],"mmm-yyyy")</f>
        <v>May-2024</v>
      </c>
      <c r="D29" s="4" t="str">
        <f>TEXT(Sales_Data[[#This Row],[Order_Date]],"yyy")</f>
        <v>2024</v>
      </c>
      <c r="E29" s="4" t="str">
        <f>TEXT(Sales_Data[[#This Row],[Order_Date]],"mmm")</f>
        <v>May</v>
      </c>
      <c r="F29" t="s">
        <v>12</v>
      </c>
      <c r="G29" t="s">
        <v>15</v>
      </c>
      <c r="H29" t="s">
        <v>25</v>
      </c>
      <c r="I29">
        <v>8</v>
      </c>
      <c r="J29">
        <v>1855</v>
      </c>
      <c r="K29">
        <v>0.05</v>
      </c>
      <c r="L29">
        <v>14098</v>
      </c>
      <c r="M29">
        <v>1031</v>
      </c>
    </row>
    <row r="30" spans="1:13" x14ac:dyDescent="0.25">
      <c r="A30">
        <v>29</v>
      </c>
      <c r="B30" s="4">
        <v>45460</v>
      </c>
      <c r="C30" s="4" t="str">
        <f>TEXT(Sales_Data[[#This Row],[Order_Date]],"mmm-yyyy")</f>
        <v>Jun-2024</v>
      </c>
      <c r="D30" s="4" t="str">
        <f>TEXT(Sales_Data[[#This Row],[Order_Date]],"yyy")</f>
        <v>2024</v>
      </c>
      <c r="E30" s="4" t="str">
        <f>TEXT(Sales_Data[[#This Row],[Order_Date]],"mmm")</f>
        <v>Jun</v>
      </c>
      <c r="F30" t="s">
        <v>12</v>
      </c>
      <c r="G30" t="s">
        <v>16</v>
      </c>
      <c r="H30" t="s">
        <v>21</v>
      </c>
      <c r="I30">
        <v>4</v>
      </c>
      <c r="J30">
        <v>872</v>
      </c>
      <c r="K30">
        <v>0</v>
      </c>
      <c r="L30">
        <v>3488</v>
      </c>
      <c r="M30">
        <v>1045</v>
      </c>
    </row>
    <row r="31" spans="1:13" x14ac:dyDescent="0.25">
      <c r="A31">
        <v>30</v>
      </c>
      <c r="B31" s="4">
        <v>45307</v>
      </c>
      <c r="C31" s="4" t="str">
        <f>TEXT(Sales_Data[[#This Row],[Order_Date]],"mmm-yyyy")</f>
        <v>Jan-2024</v>
      </c>
      <c r="D31" s="4" t="str">
        <f>TEXT(Sales_Data[[#This Row],[Order_Date]],"yyy")</f>
        <v>2024</v>
      </c>
      <c r="E31" s="4" t="str">
        <f>TEXT(Sales_Data[[#This Row],[Order_Date]],"mmm")</f>
        <v>Jan</v>
      </c>
      <c r="F31" t="s">
        <v>12</v>
      </c>
      <c r="G31" t="s">
        <v>16</v>
      </c>
      <c r="H31" t="s">
        <v>21</v>
      </c>
      <c r="I31">
        <v>8</v>
      </c>
      <c r="J31">
        <v>543</v>
      </c>
      <c r="K31">
        <v>0</v>
      </c>
      <c r="L31">
        <v>4344</v>
      </c>
      <c r="M31">
        <v>1093</v>
      </c>
    </row>
    <row r="32" spans="1:13" x14ac:dyDescent="0.25">
      <c r="A32">
        <v>31</v>
      </c>
      <c r="B32" s="4">
        <v>45429</v>
      </c>
      <c r="C32" s="4" t="str">
        <f>TEXT(Sales_Data[[#This Row],[Order_Date]],"mmm-yyyy")</f>
        <v>May-2024</v>
      </c>
      <c r="D32" s="4" t="str">
        <f>TEXT(Sales_Data[[#This Row],[Order_Date]],"yyy")</f>
        <v>2024</v>
      </c>
      <c r="E32" s="4" t="str">
        <f>TEXT(Sales_Data[[#This Row],[Order_Date]],"mmm")</f>
        <v>May</v>
      </c>
      <c r="F32" t="s">
        <v>12</v>
      </c>
      <c r="G32" t="s">
        <v>16</v>
      </c>
      <c r="H32" t="s">
        <v>19</v>
      </c>
      <c r="I32">
        <v>4</v>
      </c>
      <c r="J32">
        <v>1669</v>
      </c>
      <c r="K32">
        <v>0.05</v>
      </c>
      <c r="L32">
        <v>6342.2</v>
      </c>
      <c r="M32">
        <v>1017</v>
      </c>
    </row>
    <row r="33" spans="1:13" x14ac:dyDescent="0.25">
      <c r="A33">
        <v>32</v>
      </c>
      <c r="B33" s="4">
        <v>45311</v>
      </c>
      <c r="C33" s="4" t="str">
        <f>TEXT(Sales_Data[[#This Row],[Order_Date]],"mmm-yyyy")</f>
        <v>Jan-2024</v>
      </c>
      <c r="D33" s="4" t="str">
        <f>TEXT(Sales_Data[[#This Row],[Order_Date]],"yyy")</f>
        <v>2024</v>
      </c>
      <c r="E33" s="4" t="str">
        <f>TEXT(Sales_Data[[#This Row],[Order_Date]],"mmm")</f>
        <v>Jan</v>
      </c>
      <c r="F33" t="s">
        <v>12</v>
      </c>
      <c r="G33" t="s">
        <v>16</v>
      </c>
      <c r="H33" t="s">
        <v>19</v>
      </c>
      <c r="I33">
        <v>5</v>
      </c>
      <c r="J33">
        <v>3889</v>
      </c>
      <c r="K33">
        <v>0.05</v>
      </c>
      <c r="L33">
        <v>18472.75</v>
      </c>
      <c r="M33">
        <v>1070</v>
      </c>
    </row>
    <row r="34" spans="1:13" x14ac:dyDescent="0.25">
      <c r="A34">
        <v>33</v>
      </c>
      <c r="B34" s="4">
        <v>45352</v>
      </c>
      <c r="C34" s="4" t="str">
        <f>TEXT(Sales_Data[[#This Row],[Order_Date]],"mmm-yyyy")</f>
        <v>Mar-2024</v>
      </c>
      <c r="D34" s="4" t="str">
        <f>TEXT(Sales_Data[[#This Row],[Order_Date]],"yyy")</f>
        <v>2024</v>
      </c>
      <c r="E34" s="4" t="str">
        <f>TEXT(Sales_Data[[#This Row],[Order_Date]],"mmm")</f>
        <v>Mar</v>
      </c>
      <c r="F34" t="s">
        <v>10</v>
      </c>
      <c r="G34" t="s">
        <v>15</v>
      </c>
      <c r="H34" t="s">
        <v>18</v>
      </c>
      <c r="I34">
        <v>9</v>
      </c>
      <c r="J34">
        <v>220</v>
      </c>
      <c r="K34">
        <v>0</v>
      </c>
      <c r="L34">
        <v>1980</v>
      </c>
      <c r="M34">
        <v>1052</v>
      </c>
    </row>
    <row r="35" spans="1:13" x14ac:dyDescent="0.25">
      <c r="A35">
        <v>34</v>
      </c>
      <c r="B35" s="4">
        <v>45334</v>
      </c>
      <c r="C35" s="4" t="str">
        <f>TEXT(Sales_Data[[#This Row],[Order_Date]],"mmm-yyyy")</f>
        <v>Feb-2024</v>
      </c>
      <c r="D35" s="4" t="str">
        <f>TEXT(Sales_Data[[#This Row],[Order_Date]],"yyy")</f>
        <v>2024</v>
      </c>
      <c r="E35" s="4" t="str">
        <f>TEXT(Sales_Data[[#This Row],[Order_Date]],"mmm")</f>
        <v>Feb</v>
      </c>
      <c r="F35" t="s">
        <v>12</v>
      </c>
      <c r="G35" t="s">
        <v>16</v>
      </c>
      <c r="H35" t="s">
        <v>21</v>
      </c>
      <c r="I35">
        <v>4</v>
      </c>
      <c r="J35">
        <v>3385</v>
      </c>
      <c r="K35">
        <v>0</v>
      </c>
      <c r="L35">
        <v>13540</v>
      </c>
      <c r="M35">
        <v>1000</v>
      </c>
    </row>
    <row r="36" spans="1:13" x14ac:dyDescent="0.25">
      <c r="A36">
        <v>35</v>
      </c>
      <c r="B36" s="4">
        <v>45470</v>
      </c>
      <c r="C36" s="4" t="str">
        <f>TEXT(Sales_Data[[#This Row],[Order_Date]],"mmm-yyyy")</f>
        <v>Jun-2024</v>
      </c>
      <c r="D36" s="4" t="str">
        <f>TEXT(Sales_Data[[#This Row],[Order_Date]],"yyy")</f>
        <v>2024</v>
      </c>
      <c r="E36" s="4" t="str">
        <f>TEXT(Sales_Data[[#This Row],[Order_Date]],"mmm")</f>
        <v>Jun</v>
      </c>
      <c r="F36" t="s">
        <v>12</v>
      </c>
      <c r="G36" t="s">
        <v>16</v>
      </c>
      <c r="H36" t="s">
        <v>21</v>
      </c>
      <c r="I36">
        <v>8</v>
      </c>
      <c r="J36">
        <v>2436</v>
      </c>
      <c r="K36">
        <v>0.15</v>
      </c>
      <c r="L36">
        <v>16564.8</v>
      </c>
      <c r="M36">
        <v>1019</v>
      </c>
    </row>
    <row r="37" spans="1:13" x14ac:dyDescent="0.25">
      <c r="A37">
        <v>36</v>
      </c>
      <c r="B37" s="4">
        <v>45372</v>
      </c>
      <c r="C37" s="4" t="str">
        <f>TEXT(Sales_Data[[#This Row],[Order_Date]],"mmm-yyyy")</f>
        <v>Mar-2024</v>
      </c>
      <c r="D37" s="4" t="str">
        <f>TEXT(Sales_Data[[#This Row],[Order_Date]],"yyy")</f>
        <v>2024</v>
      </c>
      <c r="E37" s="4" t="str">
        <f>TEXT(Sales_Data[[#This Row],[Order_Date]],"mmm")</f>
        <v>Mar</v>
      </c>
      <c r="F37" t="s">
        <v>11</v>
      </c>
      <c r="G37" t="s">
        <v>15</v>
      </c>
      <c r="H37" t="s">
        <v>25</v>
      </c>
      <c r="I37">
        <v>4</v>
      </c>
      <c r="J37">
        <v>579</v>
      </c>
      <c r="K37">
        <v>0</v>
      </c>
      <c r="L37">
        <v>2316</v>
      </c>
      <c r="M37">
        <v>1006</v>
      </c>
    </row>
    <row r="38" spans="1:13" x14ac:dyDescent="0.25">
      <c r="A38">
        <v>37</v>
      </c>
      <c r="B38" s="4">
        <v>45306</v>
      </c>
      <c r="C38" s="4" t="str">
        <f>TEXT(Sales_Data[[#This Row],[Order_Date]],"mmm-yyyy")</f>
        <v>Jan-2024</v>
      </c>
      <c r="D38" s="4" t="str">
        <f>TEXT(Sales_Data[[#This Row],[Order_Date]],"yyy")</f>
        <v>2024</v>
      </c>
      <c r="E38" s="4" t="str">
        <f>TEXT(Sales_Data[[#This Row],[Order_Date]],"mmm")</f>
        <v>Jan</v>
      </c>
      <c r="F38" t="s">
        <v>11</v>
      </c>
      <c r="G38" t="s">
        <v>14</v>
      </c>
      <c r="H38" t="s">
        <v>22</v>
      </c>
      <c r="I38">
        <v>9</v>
      </c>
      <c r="J38">
        <v>4450</v>
      </c>
      <c r="K38">
        <v>0.05</v>
      </c>
      <c r="L38">
        <v>38047.5</v>
      </c>
      <c r="M38">
        <v>1023</v>
      </c>
    </row>
    <row r="39" spans="1:13" x14ac:dyDescent="0.25">
      <c r="A39">
        <v>38</v>
      </c>
      <c r="B39" s="4">
        <v>45437</v>
      </c>
      <c r="C39" s="4" t="str">
        <f>TEXT(Sales_Data[[#This Row],[Order_Date]],"mmm-yyyy")</f>
        <v>May-2024</v>
      </c>
      <c r="D39" s="4" t="str">
        <f>TEXT(Sales_Data[[#This Row],[Order_Date]],"yyy")</f>
        <v>2024</v>
      </c>
      <c r="E39" s="4" t="str">
        <f>TEXT(Sales_Data[[#This Row],[Order_Date]],"mmm")</f>
        <v>May</v>
      </c>
      <c r="F39" t="s">
        <v>10</v>
      </c>
      <c r="G39" t="s">
        <v>15</v>
      </c>
      <c r="H39" t="s">
        <v>18</v>
      </c>
      <c r="I39">
        <v>4</v>
      </c>
      <c r="J39">
        <v>3407</v>
      </c>
      <c r="K39">
        <v>0</v>
      </c>
      <c r="L39">
        <v>13628</v>
      </c>
      <c r="M39">
        <v>1074</v>
      </c>
    </row>
    <row r="40" spans="1:13" x14ac:dyDescent="0.25">
      <c r="A40">
        <v>39</v>
      </c>
      <c r="B40" s="4">
        <v>45460</v>
      </c>
      <c r="C40" s="4" t="str">
        <f>TEXT(Sales_Data[[#This Row],[Order_Date]],"mmm-yyyy")</f>
        <v>Jun-2024</v>
      </c>
      <c r="D40" s="4" t="str">
        <f>TEXT(Sales_Data[[#This Row],[Order_Date]],"yyy")</f>
        <v>2024</v>
      </c>
      <c r="E40" s="4" t="str">
        <f>TEXT(Sales_Data[[#This Row],[Order_Date]],"mmm")</f>
        <v>Jun</v>
      </c>
      <c r="F40" t="s">
        <v>13</v>
      </c>
      <c r="G40" t="s">
        <v>14</v>
      </c>
      <c r="H40" t="s">
        <v>17</v>
      </c>
      <c r="I40">
        <v>10</v>
      </c>
      <c r="J40">
        <v>771</v>
      </c>
      <c r="K40">
        <v>0.15</v>
      </c>
      <c r="L40">
        <v>6553.5</v>
      </c>
      <c r="M40">
        <v>1033</v>
      </c>
    </row>
    <row r="41" spans="1:13" x14ac:dyDescent="0.25">
      <c r="A41">
        <v>40</v>
      </c>
      <c r="B41" s="4">
        <v>45325</v>
      </c>
      <c r="C41" s="4" t="str">
        <f>TEXT(Sales_Data[[#This Row],[Order_Date]],"mmm-yyyy")</f>
        <v>Feb-2024</v>
      </c>
      <c r="D41" s="4" t="str">
        <f>TEXT(Sales_Data[[#This Row],[Order_Date]],"yyy")</f>
        <v>2024</v>
      </c>
      <c r="E41" s="4" t="str">
        <f>TEXT(Sales_Data[[#This Row],[Order_Date]],"mmm")</f>
        <v>Feb</v>
      </c>
      <c r="F41" t="s">
        <v>13</v>
      </c>
      <c r="G41" t="s">
        <v>15</v>
      </c>
      <c r="H41" t="s">
        <v>25</v>
      </c>
      <c r="I41">
        <v>4</v>
      </c>
      <c r="J41">
        <v>2275</v>
      </c>
      <c r="K41">
        <v>0.15</v>
      </c>
      <c r="L41">
        <v>7735</v>
      </c>
      <c r="M41">
        <v>1058</v>
      </c>
    </row>
    <row r="42" spans="1:13" x14ac:dyDescent="0.25">
      <c r="A42">
        <v>41</v>
      </c>
      <c r="B42" s="4">
        <v>45310</v>
      </c>
      <c r="C42" s="4" t="str">
        <f>TEXT(Sales_Data[[#This Row],[Order_Date]],"mmm-yyyy")</f>
        <v>Jan-2024</v>
      </c>
      <c r="D42" s="4" t="str">
        <f>TEXT(Sales_Data[[#This Row],[Order_Date]],"yyy")</f>
        <v>2024</v>
      </c>
      <c r="E42" s="4" t="str">
        <f>TEXT(Sales_Data[[#This Row],[Order_Date]],"mmm")</f>
        <v>Jan</v>
      </c>
      <c r="F42" t="s">
        <v>10</v>
      </c>
      <c r="G42" t="s">
        <v>16</v>
      </c>
      <c r="H42" t="s">
        <v>19</v>
      </c>
      <c r="I42">
        <v>1</v>
      </c>
      <c r="J42">
        <v>3854</v>
      </c>
      <c r="K42">
        <v>0</v>
      </c>
      <c r="L42">
        <v>3854</v>
      </c>
      <c r="M42">
        <v>1064</v>
      </c>
    </row>
    <row r="43" spans="1:13" x14ac:dyDescent="0.25">
      <c r="A43">
        <v>42</v>
      </c>
      <c r="B43" s="4">
        <v>45386</v>
      </c>
      <c r="C43" s="4" t="str">
        <f>TEXT(Sales_Data[[#This Row],[Order_Date]],"mmm-yyyy")</f>
        <v>Apr-2024</v>
      </c>
      <c r="D43" s="4" t="str">
        <f>TEXT(Sales_Data[[#This Row],[Order_Date]],"yyy")</f>
        <v>2024</v>
      </c>
      <c r="E43" s="4" t="str">
        <f>TEXT(Sales_Data[[#This Row],[Order_Date]],"mmm")</f>
        <v>Apr</v>
      </c>
      <c r="F43" t="s">
        <v>13</v>
      </c>
      <c r="G43" t="s">
        <v>16</v>
      </c>
      <c r="H43" t="s">
        <v>19</v>
      </c>
      <c r="I43">
        <v>6</v>
      </c>
      <c r="J43">
        <v>663</v>
      </c>
      <c r="K43">
        <v>0.05</v>
      </c>
      <c r="L43">
        <v>3779.1</v>
      </c>
      <c r="M43">
        <v>1020</v>
      </c>
    </row>
    <row r="44" spans="1:13" x14ac:dyDescent="0.25">
      <c r="A44">
        <v>43</v>
      </c>
      <c r="B44" s="4">
        <v>45462</v>
      </c>
      <c r="C44" s="4" t="str">
        <f>TEXT(Sales_Data[[#This Row],[Order_Date]],"mmm-yyyy")</f>
        <v>Jun-2024</v>
      </c>
      <c r="D44" s="4" t="str">
        <f>TEXT(Sales_Data[[#This Row],[Order_Date]],"yyy")</f>
        <v>2024</v>
      </c>
      <c r="E44" s="4" t="str">
        <f>TEXT(Sales_Data[[#This Row],[Order_Date]],"mmm")</f>
        <v>Jun</v>
      </c>
      <c r="F44" t="s">
        <v>13</v>
      </c>
      <c r="G44" t="s">
        <v>16</v>
      </c>
      <c r="H44" t="s">
        <v>20</v>
      </c>
      <c r="I44">
        <v>5</v>
      </c>
      <c r="J44">
        <v>4433</v>
      </c>
      <c r="K44">
        <v>0</v>
      </c>
      <c r="L44">
        <v>22165</v>
      </c>
      <c r="M44">
        <v>1084</v>
      </c>
    </row>
    <row r="45" spans="1:13" x14ac:dyDescent="0.25">
      <c r="A45">
        <v>44</v>
      </c>
      <c r="B45" s="4">
        <v>45433</v>
      </c>
      <c r="C45" s="4" t="str">
        <f>TEXT(Sales_Data[[#This Row],[Order_Date]],"mmm-yyyy")</f>
        <v>May-2024</v>
      </c>
      <c r="D45" s="4" t="str">
        <f>TEXT(Sales_Data[[#This Row],[Order_Date]],"yyy")</f>
        <v>2024</v>
      </c>
      <c r="E45" s="4" t="str">
        <f>TEXT(Sales_Data[[#This Row],[Order_Date]],"mmm")</f>
        <v>May</v>
      </c>
      <c r="F45" t="s">
        <v>10</v>
      </c>
      <c r="G45" t="s">
        <v>15</v>
      </c>
      <c r="H45" t="s">
        <v>24</v>
      </c>
      <c r="I45">
        <v>5</v>
      </c>
      <c r="J45">
        <v>1045</v>
      </c>
      <c r="K45">
        <v>0</v>
      </c>
      <c r="L45">
        <v>5225</v>
      </c>
      <c r="M45">
        <v>1034</v>
      </c>
    </row>
    <row r="46" spans="1:13" x14ac:dyDescent="0.25">
      <c r="A46">
        <v>45</v>
      </c>
      <c r="B46" s="4">
        <v>45467</v>
      </c>
      <c r="C46" s="4" t="str">
        <f>TEXT(Sales_Data[[#This Row],[Order_Date]],"mmm-yyyy")</f>
        <v>Jun-2024</v>
      </c>
      <c r="D46" s="4" t="str">
        <f>TEXT(Sales_Data[[#This Row],[Order_Date]],"yyy")</f>
        <v>2024</v>
      </c>
      <c r="E46" s="4" t="str">
        <f>TEXT(Sales_Data[[#This Row],[Order_Date]],"mmm")</f>
        <v>Jun</v>
      </c>
      <c r="F46" t="s">
        <v>13</v>
      </c>
      <c r="G46" t="s">
        <v>16</v>
      </c>
      <c r="H46" t="s">
        <v>20</v>
      </c>
      <c r="I46">
        <v>4</v>
      </c>
      <c r="J46">
        <v>2908</v>
      </c>
      <c r="K46">
        <v>0.05</v>
      </c>
      <c r="L46">
        <v>11050.4</v>
      </c>
      <c r="M46">
        <v>1064</v>
      </c>
    </row>
    <row r="47" spans="1:13" x14ac:dyDescent="0.25">
      <c r="A47">
        <v>46</v>
      </c>
      <c r="B47" s="4">
        <v>45362</v>
      </c>
      <c r="C47" s="4" t="str">
        <f>TEXT(Sales_Data[[#This Row],[Order_Date]],"mmm-yyyy")</f>
        <v>Mar-2024</v>
      </c>
      <c r="D47" s="4" t="str">
        <f>TEXT(Sales_Data[[#This Row],[Order_Date]],"yyy")</f>
        <v>2024</v>
      </c>
      <c r="E47" s="4" t="str">
        <f>TEXT(Sales_Data[[#This Row],[Order_Date]],"mmm")</f>
        <v>Mar</v>
      </c>
      <c r="F47" t="s">
        <v>11</v>
      </c>
      <c r="G47" t="s">
        <v>16</v>
      </c>
      <c r="H47" t="s">
        <v>21</v>
      </c>
      <c r="I47">
        <v>1</v>
      </c>
      <c r="J47">
        <v>856</v>
      </c>
      <c r="K47">
        <v>0.15</v>
      </c>
      <c r="L47">
        <v>727.6</v>
      </c>
      <c r="M47">
        <v>1000</v>
      </c>
    </row>
    <row r="48" spans="1:13" x14ac:dyDescent="0.25">
      <c r="A48">
        <v>47</v>
      </c>
      <c r="B48" s="4">
        <v>45433</v>
      </c>
      <c r="C48" s="4" t="str">
        <f>TEXT(Sales_Data[[#This Row],[Order_Date]],"mmm-yyyy")</f>
        <v>May-2024</v>
      </c>
      <c r="D48" s="4" t="str">
        <f>TEXT(Sales_Data[[#This Row],[Order_Date]],"yyy")</f>
        <v>2024</v>
      </c>
      <c r="E48" s="4" t="str">
        <f>TEXT(Sales_Data[[#This Row],[Order_Date]],"mmm")</f>
        <v>May</v>
      </c>
      <c r="F48" t="s">
        <v>12</v>
      </c>
      <c r="G48" t="s">
        <v>16</v>
      </c>
      <c r="H48" t="s">
        <v>19</v>
      </c>
      <c r="I48">
        <v>5</v>
      </c>
      <c r="J48">
        <v>1423</v>
      </c>
      <c r="K48">
        <v>0.15</v>
      </c>
      <c r="L48">
        <v>6047.75</v>
      </c>
      <c r="M48">
        <v>1071</v>
      </c>
    </row>
    <row r="49" spans="1:13" x14ac:dyDescent="0.25">
      <c r="A49">
        <v>48</v>
      </c>
      <c r="B49" s="4">
        <v>45386</v>
      </c>
      <c r="C49" s="4" t="str">
        <f>TEXT(Sales_Data[[#This Row],[Order_Date]],"mmm-yyyy")</f>
        <v>Apr-2024</v>
      </c>
      <c r="D49" s="4" t="str">
        <f>TEXT(Sales_Data[[#This Row],[Order_Date]],"yyy")</f>
        <v>2024</v>
      </c>
      <c r="E49" s="4" t="str">
        <f>TEXT(Sales_Data[[#This Row],[Order_Date]],"mmm")</f>
        <v>Apr</v>
      </c>
      <c r="F49" t="s">
        <v>10</v>
      </c>
      <c r="G49" t="s">
        <v>15</v>
      </c>
      <c r="H49" t="s">
        <v>18</v>
      </c>
      <c r="I49">
        <v>2</v>
      </c>
      <c r="J49">
        <v>1321</v>
      </c>
      <c r="K49">
        <v>0</v>
      </c>
      <c r="L49">
        <v>2642</v>
      </c>
      <c r="M49">
        <v>1055</v>
      </c>
    </row>
    <row r="50" spans="1:13" x14ac:dyDescent="0.25">
      <c r="A50">
        <v>49</v>
      </c>
      <c r="B50" s="4">
        <v>45383</v>
      </c>
      <c r="C50" s="4" t="str">
        <f>TEXT(Sales_Data[[#This Row],[Order_Date]],"mmm-yyyy")</f>
        <v>Apr-2024</v>
      </c>
      <c r="D50" s="4" t="str">
        <f>TEXT(Sales_Data[[#This Row],[Order_Date]],"yyy")</f>
        <v>2024</v>
      </c>
      <c r="E50" s="4" t="str">
        <f>TEXT(Sales_Data[[#This Row],[Order_Date]],"mmm")</f>
        <v>Apr</v>
      </c>
      <c r="F50" t="s">
        <v>10</v>
      </c>
      <c r="G50" t="s">
        <v>15</v>
      </c>
      <c r="H50" t="s">
        <v>18</v>
      </c>
      <c r="I50">
        <v>5</v>
      </c>
      <c r="J50">
        <v>3087</v>
      </c>
      <c r="K50">
        <v>0</v>
      </c>
      <c r="L50">
        <v>15435</v>
      </c>
      <c r="M50">
        <v>1087</v>
      </c>
    </row>
    <row r="51" spans="1:13" x14ac:dyDescent="0.25">
      <c r="A51">
        <v>50</v>
      </c>
      <c r="B51" s="4">
        <v>45450</v>
      </c>
      <c r="C51" s="4" t="str">
        <f>TEXT(Sales_Data[[#This Row],[Order_Date]],"mmm-yyyy")</f>
        <v>Jun-2024</v>
      </c>
      <c r="D51" s="4" t="str">
        <f>TEXT(Sales_Data[[#This Row],[Order_Date]],"yyy")</f>
        <v>2024</v>
      </c>
      <c r="E51" s="4" t="str">
        <f>TEXT(Sales_Data[[#This Row],[Order_Date]],"mmm")</f>
        <v>Jun</v>
      </c>
      <c r="F51" t="s">
        <v>10</v>
      </c>
      <c r="G51" t="s">
        <v>15</v>
      </c>
      <c r="H51" t="s">
        <v>18</v>
      </c>
      <c r="I51">
        <v>6</v>
      </c>
      <c r="J51">
        <v>4686</v>
      </c>
      <c r="K51">
        <v>0.15</v>
      </c>
      <c r="L51">
        <v>23898.6</v>
      </c>
      <c r="M51">
        <v>1030</v>
      </c>
    </row>
    <row r="52" spans="1:13" x14ac:dyDescent="0.25">
      <c r="A52">
        <v>51</v>
      </c>
      <c r="B52" s="4">
        <v>45377</v>
      </c>
      <c r="C52" s="4" t="str">
        <f>TEXT(Sales_Data[[#This Row],[Order_Date]],"mmm-yyyy")</f>
        <v>Mar-2024</v>
      </c>
      <c r="D52" s="4" t="str">
        <f>TEXT(Sales_Data[[#This Row],[Order_Date]],"yyy")</f>
        <v>2024</v>
      </c>
      <c r="E52" s="4" t="str">
        <f>TEXT(Sales_Data[[#This Row],[Order_Date]],"mmm")</f>
        <v>Mar</v>
      </c>
      <c r="F52" t="s">
        <v>12</v>
      </c>
      <c r="G52" t="s">
        <v>15</v>
      </c>
      <c r="H52" t="s">
        <v>24</v>
      </c>
      <c r="I52">
        <v>7</v>
      </c>
      <c r="J52">
        <v>303</v>
      </c>
      <c r="K52">
        <v>0.05</v>
      </c>
      <c r="L52">
        <v>2014.95</v>
      </c>
      <c r="M52">
        <v>1085</v>
      </c>
    </row>
    <row r="53" spans="1:13" x14ac:dyDescent="0.25">
      <c r="A53">
        <v>52</v>
      </c>
      <c r="B53" s="4">
        <v>45389</v>
      </c>
      <c r="C53" s="4" t="str">
        <f>TEXT(Sales_Data[[#This Row],[Order_Date]],"mmm-yyyy")</f>
        <v>Apr-2024</v>
      </c>
      <c r="D53" s="4" t="str">
        <f>TEXT(Sales_Data[[#This Row],[Order_Date]],"yyy")</f>
        <v>2024</v>
      </c>
      <c r="E53" s="4" t="str">
        <f>TEXT(Sales_Data[[#This Row],[Order_Date]],"mmm")</f>
        <v>Apr</v>
      </c>
      <c r="F53" t="s">
        <v>11</v>
      </c>
      <c r="G53" t="s">
        <v>14</v>
      </c>
      <c r="H53" t="s">
        <v>17</v>
      </c>
      <c r="I53">
        <v>5</v>
      </c>
      <c r="J53">
        <v>1404</v>
      </c>
      <c r="K53">
        <v>0</v>
      </c>
      <c r="L53">
        <v>7020</v>
      </c>
      <c r="M53">
        <v>1060</v>
      </c>
    </row>
    <row r="54" spans="1:13" x14ac:dyDescent="0.25">
      <c r="A54">
        <v>53</v>
      </c>
      <c r="B54" s="4">
        <v>45350</v>
      </c>
      <c r="C54" s="4" t="str">
        <f>TEXT(Sales_Data[[#This Row],[Order_Date]],"mmm-yyyy")</f>
        <v>Feb-2024</v>
      </c>
      <c r="D54" s="4" t="str">
        <f>TEXT(Sales_Data[[#This Row],[Order_Date]],"yyy")</f>
        <v>2024</v>
      </c>
      <c r="E54" s="4" t="str">
        <f>TEXT(Sales_Data[[#This Row],[Order_Date]],"mmm")</f>
        <v>Feb</v>
      </c>
      <c r="F54" t="s">
        <v>10</v>
      </c>
      <c r="G54" t="s">
        <v>15</v>
      </c>
      <c r="H54" t="s">
        <v>24</v>
      </c>
      <c r="I54">
        <v>8</v>
      </c>
      <c r="J54">
        <v>2964</v>
      </c>
      <c r="K54">
        <v>0.1</v>
      </c>
      <c r="L54">
        <v>21340.799999999999</v>
      </c>
      <c r="M54">
        <v>1003</v>
      </c>
    </row>
    <row r="55" spans="1:13" x14ac:dyDescent="0.25">
      <c r="A55">
        <v>54</v>
      </c>
      <c r="B55" s="4">
        <v>45309</v>
      </c>
      <c r="C55" s="4" t="str">
        <f>TEXT(Sales_Data[[#This Row],[Order_Date]],"mmm-yyyy")</f>
        <v>Jan-2024</v>
      </c>
      <c r="D55" s="4" t="str">
        <f>TEXT(Sales_Data[[#This Row],[Order_Date]],"yyy")</f>
        <v>2024</v>
      </c>
      <c r="E55" s="4" t="str">
        <f>TEXT(Sales_Data[[#This Row],[Order_Date]],"mmm")</f>
        <v>Jan</v>
      </c>
      <c r="F55" t="s">
        <v>13</v>
      </c>
      <c r="G55" t="s">
        <v>14</v>
      </c>
      <c r="H55" t="s">
        <v>17</v>
      </c>
      <c r="I55">
        <v>7</v>
      </c>
      <c r="J55">
        <v>2789</v>
      </c>
      <c r="K55">
        <v>0.1</v>
      </c>
      <c r="L55">
        <v>17570.7</v>
      </c>
      <c r="M55">
        <v>1044</v>
      </c>
    </row>
    <row r="56" spans="1:13" x14ac:dyDescent="0.25">
      <c r="A56">
        <v>55</v>
      </c>
      <c r="B56" s="4">
        <v>45299</v>
      </c>
      <c r="C56" s="4" t="str">
        <f>TEXT(Sales_Data[[#This Row],[Order_Date]],"mmm-yyyy")</f>
        <v>Jan-2024</v>
      </c>
      <c r="D56" s="4" t="str">
        <f>TEXT(Sales_Data[[#This Row],[Order_Date]],"yyy")</f>
        <v>2024</v>
      </c>
      <c r="E56" s="4" t="str">
        <f>TEXT(Sales_Data[[#This Row],[Order_Date]],"mmm")</f>
        <v>Jan</v>
      </c>
      <c r="F56" t="s">
        <v>11</v>
      </c>
      <c r="G56" t="s">
        <v>14</v>
      </c>
      <c r="H56" t="s">
        <v>23</v>
      </c>
      <c r="I56">
        <v>7</v>
      </c>
      <c r="J56">
        <v>4492</v>
      </c>
      <c r="K56">
        <v>0.1</v>
      </c>
      <c r="L56">
        <v>28299.599999999999</v>
      </c>
      <c r="M56">
        <v>1033</v>
      </c>
    </row>
    <row r="57" spans="1:13" x14ac:dyDescent="0.25">
      <c r="A57">
        <v>56</v>
      </c>
      <c r="B57" s="4">
        <v>45380</v>
      </c>
      <c r="C57" s="4" t="str">
        <f>TEXT(Sales_Data[[#This Row],[Order_Date]],"mmm-yyyy")</f>
        <v>Mar-2024</v>
      </c>
      <c r="D57" s="4" t="str">
        <f>TEXT(Sales_Data[[#This Row],[Order_Date]],"yyy")</f>
        <v>2024</v>
      </c>
      <c r="E57" s="4" t="str">
        <f>TEXT(Sales_Data[[#This Row],[Order_Date]],"mmm")</f>
        <v>Mar</v>
      </c>
      <c r="F57" t="s">
        <v>13</v>
      </c>
      <c r="G57" t="s">
        <v>15</v>
      </c>
      <c r="H57" t="s">
        <v>25</v>
      </c>
      <c r="I57">
        <v>1</v>
      </c>
      <c r="J57">
        <v>988</v>
      </c>
      <c r="K57">
        <v>0.15</v>
      </c>
      <c r="L57">
        <v>839.8</v>
      </c>
      <c r="M57">
        <v>1055</v>
      </c>
    </row>
    <row r="58" spans="1:13" x14ac:dyDescent="0.25">
      <c r="A58">
        <v>57</v>
      </c>
      <c r="B58" s="4">
        <v>45357</v>
      </c>
      <c r="C58" s="4" t="str">
        <f>TEXT(Sales_Data[[#This Row],[Order_Date]],"mmm-yyyy")</f>
        <v>Mar-2024</v>
      </c>
      <c r="D58" s="4" t="str">
        <f>TEXT(Sales_Data[[#This Row],[Order_Date]],"yyy")</f>
        <v>2024</v>
      </c>
      <c r="E58" s="4" t="str">
        <f>TEXT(Sales_Data[[#This Row],[Order_Date]],"mmm")</f>
        <v>Mar</v>
      </c>
      <c r="F58" t="s">
        <v>11</v>
      </c>
      <c r="G58" t="s">
        <v>14</v>
      </c>
      <c r="H58" t="s">
        <v>23</v>
      </c>
      <c r="I58">
        <v>2</v>
      </c>
      <c r="J58">
        <v>3255</v>
      </c>
      <c r="K58">
        <v>0.05</v>
      </c>
      <c r="L58">
        <v>6184.5</v>
      </c>
      <c r="M58">
        <v>1090</v>
      </c>
    </row>
    <row r="59" spans="1:13" x14ac:dyDescent="0.25">
      <c r="A59">
        <v>58</v>
      </c>
      <c r="B59" s="4">
        <v>45385</v>
      </c>
      <c r="C59" s="4" t="str">
        <f>TEXT(Sales_Data[[#This Row],[Order_Date]],"mmm-yyyy")</f>
        <v>Apr-2024</v>
      </c>
      <c r="D59" s="4" t="str">
        <f>TEXT(Sales_Data[[#This Row],[Order_Date]],"yyy")</f>
        <v>2024</v>
      </c>
      <c r="E59" s="4" t="str">
        <f>TEXT(Sales_Data[[#This Row],[Order_Date]],"mmm")</f>
        <v>Apr</v>
      </c>
      <c r="F59" t="s">
        <v>12</v>
      </c>
      <c r="G59" t="s">
        <v>16</v>
      </c>
      <c r="H59" t="s">
        <v>19</v>
      </c>
      <c r="I59">
        <v>9</v>
      </c>
      <c r="J59">
        <v>4510</v>
      </c>
      <c r="K59">
        <v>0.05</v>
      </c>
      <c r="L59">
        <v>38560.5</v>
      </c>
      <c r="M59">
        <v>1008</v>
      </c>
    </row>
    <row r="60" spans="1:13" x14ac:dyDescent="0.25">
      <c r="A60">
        <v>59</v>
      </c>
      <c r="B60" s="4">
        <v>45368</v>
      </c>
      <c r="C60" s="4" t="str">
        <f>TEXT(Sales_Data[[#This Row],[Order_Date]],"mmm-yyyy")</f>
        <v>Mar-2024</v>
      </c>
      <c r="D60" s="4" t="str">
        <f>TEXT(Sales_Data[[#This Row],[Order_Date]],"yyy")</f>
        <v>2024</v>
      </c>
      <c r="E60" s="4" t="str">
        <f>TEXT(Sales_Data[[#This Row],[Order_Date]],"mmm")</f>
        <v>Mar</v>
      </c>
      <c r="F60" t="s">
        <v>13</v>
      </c>
      <c r="G60" t="s">
        <v>14</v>
      </c>
      <c r="H60" t="s">
        <v>22</v>
      </c>
      <c r="I60">
        <v>10</v>
      </c>
      <c r="J60">
        <v>2671</v>
      </c>
      <c r="K60">
        <v>0</v>
      </c>
      <c r="L60">
        <v>26710</v>
      </c>
      <c r="M60">
        <v>1085</v>
      </c>
    </row>
    <row r="61" spans="1:13" x14ac:dyDescent="0.25">
      <c r="A61">
        <v>60</v>
      </c>
      <c r="B61" s="4">
        <v>45341</v>
      </c>
      <c r="C61" s="4" t="str">
        <f>TEXT(Sales_Data[[#This Row],[Order_Date]],"mmm-yyyy")</f>
        <v>Feb-2024</v>
      </c>
      <c r="D61" s="4" t="str">
        <f>TEXT(Sales_Data[[#This Row],[Order_Date]],"yyy")</f>
        <v>2024</v>
      </c>
      <c r="E61" s="4" t="str">
        <f>TEXT(Sales_Data[[#This Row],[Order_Date]],"mmm")</f>
        <v>Feb</v>
      </c>
      <c r="F61" t="s">
        <v>12</v>
      </c>
      <c r="G61" t="s">
        <v>16</v>
      </c>
      <c r="H61" t="s">
        <v>21</v>
      </c>
      <c r="I61">
        <v>7</v>
      </c>
      <c r="J61">
        <v>2522</v>
      </c>
      <c r="K61">
        <v>0.05</v>
      </c>
      <c r="L61">
        <v>16771.3</v>
      </c>
      <c r="M61">
        <v>1085</v>
      </c>
    </row>
    <row r="62" spans="1:13" x14ac:dyDescent="0.25">
      <c r="A62">
        <v>61</v>
      </c>
      <c r="B62" s="4">
        <v>45395</v>
      </c>
      <c r="C62" s="4" t="str">
        <f>TEXT(Sales_Data[[#This Row],[Order_Date]],"mmm-yyyy")</f>
        <v>Apr-2024</v>
      </c>
      <c r="D62" s="4" t="str">
        <f>TEXT(Sales_Data[[#This Row],[Order_Date]],"yyy")</f>
        <v>2024</v>
      </c>
      <c r="E62" s="4" t="str">
        <f>TEXT(Sales_Data[[#This Row],[Order_Date]],"mmm")</f>
        <v>Apr</v>
      </c>
      <c r="F62" t="s">
        <v>11</v>
      </c>
      <c r="G62" t="s">
        <v>16</v>
      </c>
      <c r="H62" t="s">
        <v>20</v>
      </c>
      <c r="I62">
        <v>3</v>
      </c>
      <c r="J62">
        <v>4762</v>
      </c>
      <c r="K62">
        <v>0.1</v>
      </c>
      <c r="L62">
        <v>12857.4</v>
      </c>
      <c r="M62">
        <v>1038</v>
      </c>
    </row>
    <row r="63" spans="1:13" x14ac:dyDescent="0.25">
      <c r="A63">
        <v>62</v>
      </c>
      <c r="B63" s="4">
        <v>45411</v>
      </c>
      <c r="C63" s="4" t="str">
        <f>TEXT(Sales_Data[[#This Row],[Order_Date]],"mmm-yyyy")</f>
        <v>Apr-2024</v>
      </c>
      <c r="D63" s="4" t="str">
        <f>TEXT(Sales_Data[[#This Row],[Order_Date]],"yyy")</f>
        <v>2024</v>
      </c>
      <c r="E63" s="4" t="str">
        <f>TEXT(Sales_Data[[#This Row],[Order_Date]],"mmm")</f>
        <v>Apr</v>
      </c>
      <c r="F63" t="s">
        <v>12</v>
      </c>
      <c r="G63" t="s">
        <v>16</v>
      </c>
      <c r="H63" t="s">
        <v>19</v>
      </c>
      <c r="I63">
        <v>7</v>
      </c>
      <c r="J63">
        <v>4851</v>
      </c>
      <c r="K63">
        <v>0.1</v>
      </c>
      <c r="L63">
        <v>30561.3</v>
      </c>
      <c r="M63">
        <v>1056</v>
      </c>
    </row>
    <row r="64" spans="1:13" x14ac:dyDescent="0.25">
      <c r="A64">
        <v>63</v>
      </c>
      <c r="B64" s="4">
        <v>45460</v>
      </c>
      <c r="C64" s="4" t="str">
        <f>TEXT(Sales_Data[[#This Row],[Order_Date]],"mmm-yyyy")</f>
        <v>Jun-2024</v>
      </c>
      <c r="D64" s="4" t="str">
        <f>TEXT(Sales_Data[[#This Row],[Order_Date]],"yyy")</f>
        <v>2024</v>
      </c>
      <c r="E64" s="4" t="str">
        <f>TEXT(Sales_Data[[#This Row],[Order_Date]],"mmm")</f>
        <v>Jun</v>
      </c>
      <c r="F64" t="s">
        <v>11</v>
      </c>
      <c r="G64" t="s">
        <v>14</v>
      </c>
      <c r="H64" t="s">
        <v>17</v>
      </c>
      <c r="I64">
        <v>9</v>
      </c>
      <c r="J64">
        <v>3976</v>
      </c>
      <c r="K64">
        <v>0.05</v>
      </c>
      <c r="L64">
        <v>33994.800000000003</v>
      </c>
      <c r="M64">
        <v>1036</v>
      </c>
    </row>
    <row r="65" spans="1:13" x14ac:dyDescent="0.25">
      <c r="A65">
        <v>64</v>
      </c>
      <c r="B65" s="4">
        <v>45352</v>
      </c>
      <c r="C65" s="4" t="str">
        <f>TEXT(Sales_Data[[#This Row],[Order_Date]],"mmm-yyyy")</f>
        <v>Mar-2024</v>
      </c>
      <c r="D65" s="4" t="str">
        <f>TEXT(Sales_Data[[#This Row],[Order_Date]],"yyy")</f>
        <v>2024</v>
      </c>
      <c r="E65" s="4" t="str">
        <f>TEXT(Sales_Data[[#This Row],[Order_Date]],"mmm")</f>
        <v>Mar</v>
      </c>
      <c r="F65" t="s">
        <v>13</v>
      </c>
      <c r="G65" t="s">
        <v>14</v>
      </c>
      <c r="H65" t="s">
        <v>23</v>
      </c>
      <c r="I65">
        <v>10</v>
      </c>
      <c r="J65">
        <v>2845</v>
      </c>
      <c r="K65">
        <v>0</v>
      </c>
      <c r="L65">
        <v>28450</v>
      </c>
      <c r="M65">
        <v>1028</v>
      </c>
    </row>
    <row r="66" spans="1:13" x14ac:dyDescent="0.25">
      <c r="A66">
        <v>65</v>
      </c>
      <c r="B66" s="4">
        <v>45413</v>
      </c>
      <c r="C66" s="4" t="str">
        <f>TEXT(Sales_Data[[#This Row],[Order_Date]],"mmm-yyyy")</f>
        <v>May-2024</v>
      </c>
      <c r="D66" s="4" t="str">
        <f>TEXT(Sales_Data[[#This Row],[Order_Date]],"yyy")</f>
        <v>2024</v>
      </c>
      <c r="E66" s="4" t="str">
        <f>TEXT(Sales_Data[[#This Row],[Order_Date]],"mmm")</f>
        <v>May</v>
      </c>
      <c r="F66" t="s">
        <v>11</v>
      </c>
      <c r="G66" t="s">
        <v>15</v>
      </c>
      <c r="H66" t="s">
        <v>24</v>
      </c>
      <c r="I66">
        <v>1</v>
      </c>
      <c r="J66">
        <v>478</v>
      </c>
      <c r="K66">
        <v>0.05</v>
      </c>
      <c r="L66">
        <v>454.1</v>
      </c>
      <c r="M66">
        <v>1058</v>
      </c>
    </row>
    <row r="67" spans="1:13" x14ac:dyDescent="0.25">
      <c r="A67">
        <v>66</v>
      </c>
      <c r="B67" s="4">
        <v>45418</v>
      </c>
      <c r="C67" s="4" t="str">
        <f>TEXT(Sales_Data[[#This Row],[Order_Date]],"mmm-yyyy")</f>
        <v>May-2024</v>
      </c>
      <c r="D67" s="4" t="str">
        <f>TEXT(Sales_Data[[#This Row],[Order_Date]],"yyy")</f>
        <v>2024</v>
      </c>
      <c r="E67" s="4" t="str">
        <f>TEXT(Sales_Data[[#This Row],[Order_Date]],"mmm")</f>
        <v>May</v>
      </c>
      <c r="F67" t="s">
        <v>12</v>
      </c>
      <c r="G67" t="s">
        <v>16</v>
      </c>
      <c r="H67" t="s">
        <v>20</v>
      </c>
      <c r="I67">
        <v>10</v>
      </c>
      <c r="J67">
        <v>1692</v>
      </c>
      <c r="K67">
        <v>0.15</v>
      </c>
      <c r="L67">
        <v>14382</v>
      </c>
      <c r="M67">
        <v>1031</v>
      </c>
    </row>
    <row r="68" spans="1:13" x14ac:dyDescent="0.25">
      <c r="A68">
        <v>67</v>
      </c>
      <c r="B68" s="4">
        <v>45337</v>
      </c>
      <c r="C68" s="4" t="str">
        <f>TEXT(Sales_Data[[#This Row],[Order_Date]],"mmm-yyyy")</f>
        <v>Feb-2024</v>
      </c>
      <c r="D68" s="4" t="str">
        <f>TEXT(Sales_Data[[#This Row],[Order_Date]],"yyy")</f>
        <v>2024</v>
      </c>
      <c r="E68" s="4" t="str">
        <f>TEXT(Sales_Data[[#This Row],[Order_Date]],"mmm")</f>
        <v>Feb</v>
      </c>
      <c r="F68" t="s">
        <v>12</v>
      </c>
      <c r="G68" t="s">
        <v>15</v>
      </c>
      <c r="H68" t="s">
        <v>18</v>
      </c>
      <c r="I68">
        <v>2</v>
      </c>
      <c r="J68">
        <v>3582</v>
      </c>
      <c r="K68">
        <v>0.05</v>
      </c>
      <c r="L68">
        <v>6805.8</v>
      </c>
      <c r="M68">
        <v>1006</v>
      </c>
    </row>
    <row r="69" spans="1:13" x14ac:dyDescent="0.25">
      <c r="A69">
        <v>68</v>
      </c>
      <c r="B69" s="4">
        <v>45410</v>
      </c>
      <c r="C69" s="4" t="str">
        <f>TEXT(Sales_Data[[#This Row],[Order_Date]],"mmm-yyyy")</f>
        <v>Apr-2024</v>
      </c>
      <c r="D69" s="4" t="str">
        <f>TEXT(Sales_Data[[#This Row],[Order_Date]],"yyy")</f>
        <v>2024</v>
      </c>
      <c r="E69" s="4" t="str">
        <f>TEXT(Sales_Data[[#This Row],[Order_Date]],"mmm")</f>
        <v>Apr</v>
      </c>
      <c r="F69" t="s">
        <v>13</v>
      </c>
      <c r="G69" t="s">
        <v>14</v>
      </c>
      <c r="H69" t="s">
        <v>17</v>
      </c>
      <c r="I69">
        <v>2</v>
      </c>
      <c r="J69">
        <v>3839</v>
      </c>
      <c r="K69">
        <v>0.05</v>
      </c>
      <c r="L69">
        <v>7294.1</v>
      </c>
      <c r="M69">
        <v>1096</v>
      </c>
    </row>
    <row r="70" spans="1:13" x14ac:dyDescent="0.25">
      <c r="A70">
        <v>69</v>
      </c>
      <c r="B70" s="4">
        <v>45332</v>
      </c>
      <c r="C70" s="4" t="str">
        <f>TEXT(Sales_Data[[#This Row],[Order_Date]],"mmm-yyyy")</f>
        <v>Feb-2024</v>
      </c>
      <c r="D70" s="4" t="str">
        <f>TEXT(Sales_Data[[#This Row],[Order_Date]],"yyy")</f>
        <v>2024</v>
      </c>
      <c r="E70" s="4" t="str">
        <f>TEXT(Sales_Data[[#This Row],[Order_Date]],"mmm")</f>
        <v>Feb</v>
      </c>
      <c r="F70" t="s">
        <v>12</v>
      </c>
      <c r="G70" t="s">
        <v>16</v>
      </c>
      <c r="H70" t="s">
        <v>20</v>
      </c>
      <c r="I70">
        <v>9</v>
      </c>
      <c r="J70">
        <v>3595</v>
      </c>
      <c r="K70">
        <v>0.15</v>
      </c>
      <c r="L70">
        <v>27501.75</v>
      </c>
      <c r="M70">
        <v>1057</v>
      </c>
    </row>
    <row r="71" spans="1:13" x14ac:dyDescent="0.25">
      <c r="A71">
        <v>70</v>
      </c>
      <c r="B71" s="4">
        <v>45452</v>
      </c>
      <c r="C71" s="4" t="str">
        <f>TEXT(Sales_Data[[#This Row],[Order_Date]],"mmm-yyyy")</f>
        <v>Jun-2024</v>
      </c>
      <c r="D71" s="4" t="str">
        <f>TEXT(Sales_Data[[#This Row],[Order_Date]],"yyy")</f>
        <v>2024</v>
      </c>
      <c r="E71" s="4" t="str">
        <f>TEXT(Sales_Data[[#This Row],[Order_Date]],"mmm")</f>
        <v>Jun</v>
      </c>
      <c r="F71" t="s">
        <v>10</v>
      </c>
      <c r="G71" t="s">
        <v>16</v>
      </c>
      <c r="H71" t="s">
        <v>19</v>
      </c>
      <c r="I71">
        <v>5</v>
      </c>
      <c r="J71">
        <v>4370</v>
      </c>
      <c r="K71">
        <v>0.15</v>
      </c>
      <c r="L71">
        <v>18572.5</v>
      </c>
      <c r="M71">
        <v>1035</v>
      </c>
    </row>
    <row r="72" spans="1:13" x14ac:dyDescent="0.25">
      <c r="A72">
        <v>71</v>
      </c>
      <c r="B72" s="4">
        <v>45377</v>
      </c>
      <c r="C72" s="4" t="str">
        <f>TEXT(Sales_Data[[#This Row],[Order_Date]],"mmm-yyyy")</f>
        <v>Mar-2024</v>
      </c>
      <c r="D72" s="4" t="str">
        <f>TEXT(Sales_Data[[#This Row],[Order_Date]],"yyy")</f>
        <v>2024</v>
      </c>
      <c r="E72" s="4" t="str">
        <f>TEXT(Sales_Data[[#This Row],[Order_Date]],"mmm")</f>
        <v>Mar</v>
      </c>
      <c r="F72" t="s">
        <v>13</v>
      </c>
      <c r="G72" t="s">
        <v>16</v>
      </c>
      <c r="H72" t="s">
        <v>19</v>
      </c>
      <c r="I72">
        <v>5</v>
      </c>
      <c r="J72">
        <v>2020</v>
      </c>
      <c r="K72">
        <v>0.1</v>
      </c>
      <c r="L72">
        <v>9090</v>
      </c>
      <c r="M72">
        <v>1069</v>
      </c>
    </row>
    <row r="73" spans="1:13" x14ac:dyDescent="0.25">
      <c r="A73">
        <v>72</v>
      </c>
      <c r="B73" s="4">
        <v>45469</v>
      </c>
      <c r="C73" s="4" t="str">
        <f>TEXT(Sales_Data[[#This Row],[Order_Date]],"mmm-yyyy")</f>
        <v>Jun-2024</v>
      </c>
      <c r="D73" s="4" t="str">
        <f>TEXT(Sales_Data[[#This Row],[Order_Date]],"yyy")</f>
        <v>2024</v>
      </c>
      <c r="E73" s="4" t="str">
        <f>TEXT(Sales_Data[[#This Row],[Order_Date]],"mmm")</f>
        <v>Jun</v>
      </c>
      <c r="F73" t="s">
        <v>10</v>
      </c>
      <c r="G73" t="s">
        <v>15</v>
      </c>
      <c r="H73" t="s">
        <v>24</v>
      </c>
      <c r="I73">
        <v>3</v>
      </c>
      <c r="J73">
        <v>1994</v>
      </c>
      <c r="K73">
        <v>0.15</v>
      </c>
      <c r="L73">
        <v>5084.7</v>
      </c>
      <c r="M73">
        <v>1090</v>
      </c>
    </row>
    <row r="74" spans="1:13" x14ac:dyDescent="0.25">
      <c r="A74">
        <v>73</v>
      </c>
      <c r="B74" s="4">
        <v>45430</v>
      </c>
      <c r="C74" s="4" t="str">
        <f>TEXT(Sales_Data[[#This Row],[Order_Date]],"mmm-yyyy")</f>
        <v>May-2024</v>
      </c>
      <c r="D74" s="4" t="str">
        <f>TEXT(Sales_Data[[#This Row],[Order_Date]],"yyy")</f>
        <v>2024</v>
      </c>
      <c r="E74" s="4" t="str">
        <f>TEXT(Sales_Data[[#This Row],[Order_Date]],"mmm")</f>
        <v>May</v>
      </c>
      <c r="F74" t="s">
        <v>12</v>
      </c>
      <c r="G74" t="s">
        <v>15</v>
      </c>
      <c r="H74" t="s">
        <v>18</v>
      </c>
      <c r="I74">
        <v>7</v>
      </c>
      <c r="J74">
        <v>3439</v>
      </c>
      <c r="K74">
        <v>0.1</v>
      </c>
      <c r="L74">
        <v>21665.7</v>
      </c>
      <c r="M74">
        <v>1053</v>
      </c>
    </row>
    <row r="75" spans="1:13" x14ac:dyDescent="0.25">
      <c r="A75">
        <v>74</v>
      </c>
      <c r="B75" s="4">
        <v>45439</v>
      </c>
      <c r="C75" s="4" t="str">
        <f>TEXT(Sales_Data[[#This Row],[Order_Date]],"mmm-yyyy")</f>
        <v>May-2024</v>
      </c>
      <c r="D75" s="4" t="str">
        <f>TEXT(Sales_Data[[#This Row],[Order_Date]],"yyy")</f>
        <v>2024</v>
      </c>
      <c r="E75" s="4" t="str">
        <f>TEXT(Sales_Data[[#This Row],[Order_Date]],"mmm")</f>
        <v>May</v>
      </c>
      <c r="F75" t="s">
        <v>12</v>
      </c>
      <c r="G75" t="s">
        <v>15</v>
      </c>
      <c r="H75" t="s">
        <v>24</v>
      </c>
      <c r="I75">
        <v>7</v>
      </c>
      <c r="J75">
        <v>3290</v>
      </c>
      <c r="K75">
        <v>0</v>
      </c>
      <c r="L75">
        <v>23030</v>
      </c>
      <c r="M75">
        <v>1061</v>
      </c>
    </row>
    <row r="76" spans="1:13" x14ac:dyDescent="0.25">
      <c r="A76">
        <v>75</v>
      </c>
      <c r="B76" s="4">
        <v>45429</v>
      </c>
      <c r="C76" s="4" t="str">
        <f>TEXT(Sales_Data[[#This Row],[Order_Date]],"mmm-yyyy")</f>
        <v>May-2024</v>
      </c>
      <c r="D76" s="4" t="str">
        <f>TEXT(Sales_Data[[#This Row],[Order_Date]],"yyy")</f>
        <v>2024</v>
      </c>
      <c r="E76" s="4" t="str">
        <f>TEXT(Sales_Data[[#This Row],[Order_Date]],"mmm")</f>
        <v>May</v>
      </c>
      <c r="F76" t="s">
        <v>10</v>
      </c>
      <c r="G76" t="s">
        <v>15</v>
      </c>
      <c r="H76" t="s">
        <v>25</v>
      </c>
      <c r="I76">
        <v>5</v>
      </c>
      <c r="J76">
        <v>3294</v>
      </c>
      <c r="K76">
        <v>0.15</v>
      </c>
      <c r="L76">
        <v>13999.5</v>
      </c>
      <c r="M76">
        <v>1062</v>
      </c>
    </row>
    <row r="77" spans="1:13" x14ac:dyDescent="0.25">
      <c r="A77">
        <v>76</v>
      </c>
      <c r="B77" s="4">
        <v>45391</v>
      </c>
      <c r="C77" s="4" t="str">
        <f>TEXT(Sales_Data[[#This Row],[Order_Date]],"mmm-yyyy")</f>
        <v>Apr-2024</v>
      </c>
      <c r="D77" s="4" t="str">
        <f>TEXT(Sales_Data[[#This Row],[Order_Date]],"yyy")</f>
        <v>2024</v>
      </c>
      <c r="E77" s="4" t="str">
        <f>TEXT(Sales_Data[[#This Row],[Order_Date]],"mmm")</f>
        <v>Apr</v>
      </c>
      <c r="F77" t="s">
        <v>13</v>
      </c>
      <c r="G77" t="s">
        <v>15</v>
      </c>
      <c r="H77" t="s">
        <v>25</v>
      </c>
      <c r="I77">
        <v>7</v>
      </c>
      <c r="J77">
        <v>4078</v>
      </c>
      <c r="K77">
        <v>0</v>
      </c>
      <c r="L77">
        <v>28546</v>
      </c>
      <c r="M77">
        <v>1085</v>
      </c>
    </row>
    <row r="78" spans="1:13" x14ac:dyDescent="0.25">
      <c r="A78">
        <v>77</v>
      </c>
      <c r="B78" s="4">
        <v>45451</v>
      </c>
      <c r="C78" s="4" t="str">
        <f>TEXT(Sales_Data[[#This Row],[Order_Date]],"mmm-yyyy")</f>
        <v>Jun-2024</v>
      </c>
      <c r="D78" s="4" t="str">
        <f>TEXT(Sales_Data[[#This Row],[Order_Date]],"yyy")</f>
        <v>2024</v>
      </c>
      <c r="E78" s="4" t="str">
        <f>TEXT(Sales_Data[[#This Row],[Order_Date]],"mmm")</f>
        <v>Jun</v>
      </c>
      <c r="F78" t="s">
        <v>11</v>
      </c>
      <c r="G78" t="s">
        <v>14</v>
      </c>
      <c r="H78" t="s">
        <v>22</v>
      </c>
      <c r="I78">
        <v>3</v>
      </c>
      <c r="J78">
        <v>3928</v>
      </c>
      <c r="K78">
        <v>0.05</v>
      </c>
      <c r="L78">
        <v>11194.8</v>
      </c>
      <c r="M78">
        <v>1050</v>
      </c>
    </row>
    <row r="79" spans="1:13" x14ac:dyDescent="0.25">
      <c r="A79">
        <v>78</v>
      </c>
      <c r="B79" s="4">
        <v>45326</v>
      </c>
      <c r="C79" s="4" t="str">
        <f>TEXT(Sales_Data[[#This Row],[Order_Date]],"mmm-yyyy")</f>
        <v>Feb-2024</v>
      </c>
      <c r="D79" s="4" t="str">
        <f>TEXT(Sales_Data[[#This Row],[Order_Date]],"yyy")</f>
        <v>2024</v>
      </c>
      <c r="E79" s="4" t="str">
        <f>TEXT(Sales_Data[[#This Row],[Order_Date]],"mmm")</f>
        <v>Feb</v>
      </c>
      <c r="F79" t="s">
        <v>12</v>
      </c>
      <c r="G79" t="s">
        <v>14</v>
      </c>
      <c r="H79" t="s">
        <v>23</v>
      </c>
      <c r="I79">
        <v>1</v>
      </c>
      <c r="J79">
        <v>787</v>
      </c>
      <c r="K79">
        <v>0.15</v>
      </c>
      <c r="L79">
        <v>668.95</v>
      </c>
      <c r="M79">
        <v>1023</v>
      </c>
    </row>
    <row r="80" spans="1:13" x14ac:dyDescent="0.25">
      <c r="A80">
        <v>79</v>
      </c>
      <c r="B80" s="4">
        <v>45408</v>
      </c>
      <c r="C80" s="4" t="str">
        <f>TEXT(Sales_Data[[#This Row],[Order_Date]],"mmm-yyyy")</f>
        <v>Apr-2024</v>
      </c>
      <c r="D80" s="4" t="str">
        <f>TEXT(Sales_Data[[#This Row],[Order_Date]],"yyy")</f>
        <v>2024</v>
      </c>
      <c r="E80" s="4" t="str">
        <f>TEXT(Sales_Data[[#This Row],[Order_Date]],"mmm")</f>
        <v>Apr</v>
      </c>
      <c r="F80" t="s">
        <v>13</v>
      </c>
      <c r="G80" t="s">
        <v>15</v>
      </c>
      <c r="H80" t="s">
        <v>25</v>
      </c>
      <c r="I80">
        <v>7</v>
      </c>
      <c r="J80">
        <v>2781</v>
      </c>
      <c r="K80">
        <v>0.05</v>
      </c>
      <c r="L80">
        <v>18493.650000000001</v>
      </c>
      <c r="M80">
        <v>1043</v>
      </c>
    </row>
    <row r="81" spans="1:13" x14ac:dyDescent="0.25">
      <c r="A81">
        <v>80</v>
      </c>
      <c r="B81" s="4">
        <v>45412</v>
      </c>
      <c r="C81" s="4" t="str">
        <f>TEXT(Sales_Data[[#This Row],[Order_Date]],"mmm-yyyy")</f>
        <v>Apr-2024</v>
      </c>
      <c r="D81" s="4" t="str">
        <f>TEXT(Sales_Data[[#This Row],[Order_Date]],"yyy")</f>
        <v>2024</v>
      </c>
      <c r="E81" s="4" t="str">
        <f>TEXT(Sales_Data[[#This Row],[Order_Date]],"mmm")</f>
        <v>Apr</v>
      </c>
      <c r="F81" t="s">
        <v>11</v>
      </c>
      <c r="G81" t="s">
        <v>16</v>
      </c>
      <c r="H81" t="s">
        <v>21</v>
      </c>
      <c r="I81">
        <v>7</v>
      </c>
      <c r="J81">
        <v>2166</v>
      </c>
      <c r="K81">
        <v>0</v>
      </c>
      <c r="L81">
        <v>15162</v>
      </c>
      <c r="M81">
        <v>1095</v>
      </c>
    </row>
    <row r="82" spans="1:13" x14ac:dyDescent="0.25">
      <c r="A82">
        <v>81</v>
      </c>
      <c r="B82" s="4">
        <v>45458</v>
      </c>
      <c r="C82" s="4" t="str">
        <f>TEXT(Sales_Data[[#This Row],[Order_Date]],"mmm-yyyy")</f>
        <v>Jun-2024</v>
      </c>
      <c r="D82" s="4" t="str">
        <f>TEXT(Sales_Data[[#This Row],[Order_Date]],"yyy")</f>
        <v>2024</v>
      </c>
      <c r="E82" s="4" t="str">
        <f>TEXT(Sales_Data[[#This Row],[Order_Date]],"mmm")</f>
        <v>Jun</v>
      </c>
      <c r="F82" t="s">
        <v>11</v>
      </c>
      <c r="G82" t="s">
        <v>14</v>
      </c>
      <c r="H82" t="s">
        <v>17</v>
      </c>
      <c r="I82">
        <v>6</v>
      </c>
      <c r="J82">
        <v>1936</v>
      </c>
      <c r="K82">
        <v>0</v>
      </c>
      <c r="L82">
        <v>11616</v>
      </c>
      <c r="M82">
        <v>1096</v>
      </c>
    </row>
    <row r="83" spans="1:13" x14ac:dyDescent="0.25">
      <c r="A83">
        <v>82</v>
      </c>
      <c r="B83" s="4">
        <v>45353</v>
      </c>
      <c r="C83" s="4" t="str">
        <f>TEXT(Sales_Data[[#This Row],[Order_Date]],"mmm-yyyy")</f>
        <v>Mar-2024</v>
      </c>
      <c r="D83" s="4" t="str">
        <f>TEXT(Sales_Data[[#This Row],[Order_Date]],"yyy")</f>
        <v>2024</v>
      </c>
      <c r="E83" s="4" t="str">
        <f>TEXT(Sales_Data[[#This Row],[Order_Date]],"mmm")</f>
        <v>Mar</v>
      </c>
      <c r="F83" t="s">
        <v>10</v>
      </c>
      <c r="G83" t="s">
        <v>15</v>
      </c>
      <c r="H83" t="s">
        <v>24</v>
      </c>
      <c r="I83">
        <v>4</v>
      </c>
      <c r="J83">
        <v>266</v>
      </c>
      <c r="K83">
        <v>0.05</v>
      </c>
      <c r="L83">
        <v>1010.8</v>
      </c>
      <c r="M83">
        <v>1060</v>
      </c>
    </row>
    <row r="84" spans="1:13" x14ac:dyDescent="0.25">
      <c r="A84">
        <v>83</v>
      </c>
      <c r="B84" s="4">
        <v>45471</v>
      </c>
      <c r="C84" s="4" t="str">
        <f>TEXT(Sales_Data[[#This Row],[Order_Date]],"mmm-yyyy")</f>
        <v>Jun-2024</v>
      </c>
      <c r="D84" s="4" t="str">
        <f>TEXT(Sales_Data[[#This Row],[Order_Date]],"yyy")</f>
        <v>2024</v>
      </c>
      <c r="E84" s="4" t="str">
        <f>TEXT(Sales_Data[[#This Row],[Order_Date]],"mmm")</f>
        <v>Jun</v>
      </c>
      <c r="F84" t="s">
        <v>13</v>
      </c>
      <c r="G84" t="s">
        <v>14</v>
      </c>
      <c r="H84" t="s">
        <v>17</v>
      </c>
      <c r="I84">
        <v>10</v>
      </c>
      <c r="J84">
        <v>1885</v>
      </c>
      <c r="K84">
        <v>0.15</v>
      </c>
      <c r="L84">
        <v>16022.5</v>
      </c>
      <c r="M84">
        <v>1098</v>
      </c>
    </row>
    <row r="85" spans="1:13" x14ac:dyDescent="0.25">
      <c r="A85">
        <v>84</v>
      </c>
      <c r="B85" s="4">
        <v>45371</v>
      </c>
      <c r="C85" s="4" t="str">
        <f>TEXT(Sales_Data[[#This Row],[Order_Date]],"mmm-yyyy")</f>
        <v>Mar-2024</v>
      </c>
      <c r="D85" s="4" t="str">
        <f>TEXT(Sales_Data[[#This Row],[Order_Date]],"yyy")</f>
        <v>2024</v>
      </c>
      <c r="E85" s="4" t="str">
        <f>TEXT(Sales_Data[[#This Row],[Order_Date]],"mmm")</f>
        <v>Mar</v>
      </c>
      <c r="F85" t="s">
        <v>11</v>
      </c>
      <c r="G85" t="s">
        <v>16</v>
      </c>
      <c r="H85" t="s">
        <v>19</v>
      </c>
      <c r="I85">
        <v>10</v>
      </c>
      <c r="J85">
        <v>1038</v>
      </c>
      <c r="K85">
        <v>0.05</v>
      </c>
      <c r="L85">
        <v>9861</v>
      </c>
      <c r="M85">
        <v>1074</v>
      </c>
    </row>
    <row r="86" spans="1:13" x14ac:dyDescent="0.25">
      <c r="A86">
        <v>85</v>
      </c>
      <c r="B86" s="4">
        <v>45342</v>
      </c>
      <c r="C86" s="4" t="str">
        <f>TEXT(Sales_Data[[#This Row],[Order_Date]],"mmm-yyyy")</f>
        <v>Feb-2024</v>
      </c>
      <c r="D86" s="4" t="str">
        <f>TEXT(Sales_Data[[#This Row],[Order_Date]],"yyy")</f>
        <v>2024</v>
      </c>
      <c r="E86" s="4" t="str">
        <f>TEXT(Sales_Data[[#This Row],[Order_Date]],"mmm")</f>
        <v>Feb</v>
      </c>
      <c r="F86" t="s">
        <v>11</v>
      </c>
      <c r="G86" t="s">
        <v>15</v>
      </c>
      <c r="H86" t="s">
        <v>25</v>
      </c>
      <c r="I86">
        <v>10</v>
      </c>
      <c r="J86">
        <v>3174</v>
      </c>
      <c r="K86">
        <v>0.15</v>
      </c>
      <c r="L86">
        <v>26979</v>
      </c>
      <c r="M86">
        <v>1075</v>
      </c>
    </row>
    <row r="87" spans="1:13" x14ac:dyDescent="0.25">
      <c r="A87">
        <v>86</v>
      </c>
      <c r="B87" s="4">
        <v>45467</v>
      </c>
      <c r="C87" s="4" t="str">
        <f>TEXT(Sales_Data[[#This Row],[Order_Date]],"mmm-yyyy")</f>
        <v>Jun-2024</v>
      </c>
      <c r="D87" s="4" t="str">
        <f>TEXT(Sales_Data[[#This Row],[Order_Date]],"yyy")</f>
        <v>2024</v>
      </c>
      <c r="E87" s="4" t="str">
        <f>TEXT(Sales_Data[[#This Row],[Order_Date]],"mmm")</f>
        <v>Jun</v>
      </c>
      <c r="F87" t="s">
        <v>11</v>
      </c>
      <c r="G87" t="s">
        <v>14</v>
      </c>
      <c r="H87" t="s">
        <v>23</v>
      </c>
      <c r="I87">
        <v>4</v>
      </c>
      <c r="J87">
        <v>934</v>
      </c>
      <c r="K87">
        <v>0.1</v>
      </c>
      <c r="L87">
        <v>3362.4</v>
      </c>
      <c r="M87">
        <v>1072</v>
      </c>
    </row>
    <row r="88" spans="1:13" x14ac:dyDescent="0.25">
      <c r="A88">
        <v>87</v>
      </c>
      <c r="B88" s="4">
        <v>45309</v>
      </c>
      <c r="C88" s="4" t="str">
        <f>TEXT(Sales_Data[[#This Row],[Order_Date]],"mmm-yyyy")</f>
        <v>Jan-2024</v>
      </c>
      <c r="D88" s="4" t="str">
        <f>TEXT(Sales_Data[[#This Row],[Order_Date]],"yyy")</f>
        <v>2024</v>
      </c>
      <c r="E88" s="4" t="str">
        <f>TEXT(Sales_Data[[#This Row],[Order_Date]],"mmm")</f>
        <v>Jan</v>
      </c>
      <c r="F88" t="s">
        <v>13</v>
      </c>
      <c r="G88" t="s">
        <v>15</v>
      </c>
      <c r="H88" t="s">
        <v>25</v>
      </c>
      <c r="I88">
        <v>9</v>
      </c>
      <c r="J88">
        <v>3609</v>
      </c>
      <c r="K88">
        <v>0.1</v>
      </c>
      <c r="L88">
        <v>29232.9</v>
      </c>
      <c r="M88">
        <v>1001</v>
      </c>
    </row>
    <row r="89" spans="1:13" x14ac:dyDescent="0.25">
      <c r="A89">
        <v>88</v>
      </c>
      <c r="B89" s="4">
        <v>45454</v>
      </c>
      <c r="C89" s="4" t="str">
        <f>TEXT(Sales_Data[[#This Row],[Order_Date]],"mmm-yyyy")</f>
        <v>Jun-2024</v>
      </c>
      <c r="D89" s="4" t="str">
        <f>TEXT(Sales_Data[[#This Row],[Order_Date]],"yyy")</f>
        <v>2024</v>
      </c>
      <c r="E89" s="4" t="str">
        <f>TEXT(Sales_Data[[#This Row],[Order_Date]],"mmm")</f>
        <v>Jun</v>
      </c>
      <c r="F89" t="s">
        <v>12</v>
      </c>
      <c r="G89" t="s">
        <v>16</v>
      </c>
      <c r="H89" t="s">
        <v>21</v>
      </c>
      <c r="I89">
        <v>2</v>
      </c>
      <c r="J89">
        <v>3651</v>
      </c>
      <c r="K89">
        <v>0.1</v>
      </c>
      <c r="L89">
        <v>6571.8</v>
      </c>
      <c r="M89">
        <v>1090</v>
      </c>
    </row>
    <row r="90" spans="1:13" x14ac:dyDescent="0.25">
      <c r="A90">
        <v>89</v>
      </c>
      <c r="B90" s="4">
        <v>45449</v>
      </c>
      <c r="C90" s="4" t="str">
        <f>TEXT(Sales_Data[[#This Row],[Order_Date]],"mmm-yyyy")</f>
        <v>Jun-2024</v>
      </c>
      <c r="D90" s="4" t="str">
        <f>TEXT(Sales_Data[[#This Row],[Order_Date]],"yyy")</f>
        <v>2024</v>
      </c>
      <c r="E90" s="4" t="str">
        <f>TEXT(Sales_Data[[#This Row],[Order_Date]],"mmm")</f>
        <v>Jun</v>
      </c>
      <c r="F90" t="s">
        <v>12</v>
      </c>
      <c r="G90" t="s">
        <v>15</v>
      </c>
      <c r="H90" t="s">
        <v>26</v>
      </c>
      <c r="I90">
        <v>3</v>
      </c>
      <c r="J90">
        <v>4374</v>
      </c>
      <c r="K90">
        <v>0.1</v>
      </c>
      <c r="L90">
        <v>11809.8</v>
      </c>
      <c r="M90">
        <v>1059</v>
      </c>
    </row>
    <row r="91" spans="1:13" x14ac:dyDescent="0.25">
      <c r="A91">
        <v>90</v>
      </c>
      <c r="B91" s="4">
        <v>45354</v>
      </c>
      <c r="C91" s="4" t="str">
        <f>TEXT(Sales_Data[[#This Row],[Order_Date]],"mmm-yyyy")</f>
        <v>Mar-2024</v>
      </c>
      <c r="D91" s="4" t="str">
        <f>TEXT(Sales_Data[[#This Row],[Order_Date]],"yyy")</f>
        <v>2024</v>
      </c>
      <c r="E91" s="4" t="str">
        <f>TEXT(Sales_Data[[#This Row],[Order_Date]],"mmm")</f>
        <v>Mar</v>
      </c>
      <c r="F91" t="s">
        <v>11</v>
      </c>
      <c r="G91" t="s">
        <v>16</v>
      </c>
      <c r="H91" t="s">
        <v>20</v>
      </c>
      <c r="I91">
        <v>10</v>
      </c>
      <c r="J91">
        <v>2298</v>
      </c>
      <c r="K91">
        <v>0.1</v>
      </c>
      <c r="L91">
        <v>20682</v>
      </c>
      <c r="M91">
        <v>1035</v>
      </c>
    </row>
    <row r="92" spans="1:13" x14ac:dyDescent="0.25">
      <c r="A92">
        <v>91</v>
      </c>
      <c r="B92" s="4">
        <v>45378</v>
      </c>
      <c r="C92" s="4" t="str">
        <f>TEXT(Sales_Data[[#This Row],[Order_Date]],"mmm-yyyy")</f>
        <v>Mar-2024</v>
      </c>
      <c r="D92" s="4" t="str">
        <f>TEXT(Sales_Data[[#This Row],[Order_Date]],"yyy")</f>
        <v>2024</v>
      </c>
      <c r="E92" s="4" t="str">
        <f>TEXT(Sales_Data[[#This Row],[Order_Date]],"mmm")</f>
        <v>Mar</v>
      </c>
      <c r="F92" t="s">
        <v>11</v>
      </c>
      <c r="G92" t="s">
        <v>16</v>
      </c>
      <c r="H92" t="s">
        <v>19</v>
      </c>
      <c r="I92">
        <v>8</v>
      </c>
      <c r="J92">
        <v>4768</v>
      </c>
      <c r="K92">
        <v>0.15</v>
      </c>
      <c r="L92">
        <v>32422.400000000001</v>
      </c>
      <c r="M92">
        <v>1063</v>
      </c>
    </row>
    <row r="93" spans="1:13" x14ac:dyDescent="0.25">
      <c r="A93">
        <v>92</v>
      </c>
      <c r="B93" s="4">
        <v>45358</v>
      </c>
      <c r="C93" s="4" t="str">
        <f>TEXT(Sales_Data[[#This Row],[Order_Date]],"mmm-yyyy")</f>
        <v>Mar-2024</v>
      </c>
      <c r="D93" s="4" t="str">
        <f>TEXT(Sales_Data[[#This Row],[Order_Date]],"yyy")</f>
        <v>2024</v>
      </c>
      <c r="E93" s="4" t="str">
        <f>TEXT(Sales_Data[[#This Row],[Order_Date]],"mmm")</f>
        <v>Mar</v>
      </c>
      <c r="F93" t="s">
        <v>13</v>
      </c>
      <c r="G93" t="s">
        <v>16</v>
      </c>
      <c r="H93" t="s">
        <v>19</v>
      </c>
      <c r="I93">
        <v>8</v>
      </c>
      <c r="J93">
        <v>1837</v>
      </c>
      <c r="K93">
        <v>0.1</v>
      </c>
      <c r="L93">
        <v>13226.4</v>
      </c>
      <c r="M93">
        <v>1035</v>
      </c>
    </row>
    <row r="94" spans="1:13" x14ac:dyDescent="0.25">
      <c r="A94">
        <v>93</v>
      </c>
      <c r="B94" s="4">
        <v>45424</v>
      </c>
      <c r="C94" s="4" t="str">
        <f>TEXT(Sales_Data[[#This Row],[Order_Date]],"mmm-yyyy")</f>
        <v>May-2024</v>
      </c>
      <c r="D94" s="4" t="str">
        <f>TEXT(Sales_Data[[#This Row],[Order_Date]],"yyy")</f>
        <v>2024</v>
      </c>
      <c r="E94" s="4" t="str">
        <f>TEXT(Sales_Data[[#This Row],[Order_Date]],"mmm")</f>
        <v>May</v>
      </c>
      <c r="F94" t="s">
        <v>10</v>
      </c>
      <c r="G94" t="s">
        <v>14</v>
      </c>
      <c r="H94" t="s">
        <v>23</v>
      </c>
      <c r="I94">
        <v>5</v>
      </c>
      <c r="J94">
        <v>4653</v>
      </c>
      <c r="K94">
        <v>0</v>
      </c>
      <c r="L94">
        <v>23265</v>
      </c>
      <c r="M94">
        <v>1010</v>
      </c>
    </row>
    <row r="95" spans="1:13" x14ac:dyDescent="0.25">
      <c r="A95">
        <v>94</v>
      </c>
      <c r="B95" s="4">
        <v>45468</v>
      </c>
      <c r="C95" s="4" t="str">
        <f>TEXT(Sales_Data[[#This Row],[Order_Date]],"mmm-yyyy")</f>
        <v>Jun-2024</v>
      </c>
      <c r="D95" s="4" t="str">
        <f>TEXT(Sales_Data[[#This Row],[Order_Date]],"yyy")</f>
        <v>2024</v>
      </c>
      <c r="E95" s="4" t="str">
        <f>TEXT(Sales_Data[[#This Row],[Order_Date]],"mmm")</f>
        <v>Jun</v>
      </c>
      <c r="F95" t="s">
        <v>12</v>
      </c>
      <c r="G95" t="s">
        <v>15</v>
      </c>
      <c r="H95" t="s">
        <v>26</v>
      </c>
      <c r="I95">
        <v>8</v>
      </c>
      <c r="J95">
        <v>4648</v>
      </c>
      <c r="K95">
        <v>0.05</v>
      </c>
      <c r="L95">
        <v>35324.800000000003</v>
      </c>
      <c r="M95">
        <v>1082</v>
      </c>
    </row>
    <row r="96" spans="1:13" x14ac:dyDescent="0.25">
      <c r="A96">
        <v>95</v>
      </c>
      <c r="B96" s="4">
        <v>45367</v>
      </c>
      <c r="C96" s="4" t="str">
        <f>TEXT(Sales_Data[[#This Row],[Order_Date]],"mmm-yyyy")</f>
        <v>Mar-2024</v>
      </c>
      <c r="D96" s="4" t="str">
        <f>TEXT(Sales_Data[[#This Row],[Order_Date]],"yyy")</f>
        <v>2024</v>
      </c>
      <c r="E96" s="4" t="str">
        <f>TEXT(Sales_Data[[#This Row],[Order_Date]],"mmm")</f>
        <v>Mar</v>
      </c>
      <c r="F96" t="s">
        <v>10</v>
      </c>
      <c r="G96" t="s">
        <v>14</v>
      </c>
      <c r="H96" t="s">
        <v>22</v>
      </c>
      <c r="I96">
        <v>8</v>
      </c>
      <c r="J96">
        <v>241</v>
      </c>
      <c r="K96">
        <v>0</v>
      </c>
      <c r="L96">
        <v>1928</v>
      </c>
      <c r="M96">
        <v>1051</v>
      </c>
    </row>
    <row r="97" spans="1:13" x14ac:dyDescent="0.25">
      <c r="A97">
        <v>96</v>
      </c>
      <c r="B97" s="4">
        <v>45413</v>
      </c>
      <c r="C97" s="4" t="str">
        <f>TEXT(Sales_Data[[#This Row],[Order_Date]],"mmm-yyyy")</f>
        <v>May-2024</v>
      </c>
      <c r="D97" s="4" t="str">
        <f>TEXT(Sales_Data[[#This Row],[Order_Date]],"yyy")</f>
        <v>2024</v>
      </c>
      <c r="E97" s="4" t="str">
        <f>TEXT(Sales_Data[[#This Row],[Order_Date]],"mmm")</f>
        <v>May</v>
      </c>
      <c r="F97" t="s">
        <v>13</v>
      </c>
      <c r="G97" t="s">
        <v>14</v>
      </c>
      <c r="H97" t="s">
        <v>17</v>
      </c>
      <c r="I97">
        <v>5</v>
      </c>
      <c r="J97">
        <v>4864</v>
      </c>
      <c r="K97">
        <v>0.1</v>
      </c>
      <c r="L97">
        <v>21888</v>
      </c>
      <c r="M97">
        <v>1054</v>
      </c>
    </row>
    <row r="98" spans="1:13" x14ac:dyDescent="0.25">
      <c r="A98">
        <v>97</v>
      </c>
      <c r="B98" s="4">
        <v>45361</v>
      </c>
      <c r="C98" s="4" t="str">
        <f>TEXT(Sales_Data[[#This Row],[Order_Date]],"mmm-yyyy")</f>
        <v>Mar-2024</v>
      </c>
      <c r="D98" s="4" t="str">
        <f>TEXT(Sales_Data[[#This Row],[Order_Date]],"yyy")</f>
        <v>2024</v>
      </c>
      <c r="E98" s="4" t="str">
        <f>TEXT(Sales_Data[[#This Row],[Order_Date]],"mmm")</f>
        <v>Mar</v>
      </c>
      <c r="F98" t="s">
        <v>13</v>
      </c>
      <c r="G98" t="s">
        <v>14</v>
      </c>
      <c r="H98" t="s">
        <v>23</v>
      </c>
      <c r="I98">
        <v>6</v>
      </c>
      <c r="J98">
        <v>2982</v>
      </c>
      <c r="K98">
        <v>0.15</v>
      </c>
      <c r="L98">
        <v>15208.2</v>
      </c>
      <c r="M98">
        <v>1032</v>
      </c>
    </row>
    <row r="99" spans="1:13" x14ac:dyDescent="0.25">
      <c r="A99">
        <v>98</v>
      </c>
      <c r="B99" s="4">
        <v>45429</v>
      </c>
      <c r="C99" s="4" t="str">
        <f>TEXT(Sales_Data[[#This Row],[Order_Date]],"mmm-yyyy")</f>
        <v>May-2024</v>
      </c>
      <c r="D99" s="4" t="str">
        <f>TEXT(Sales_Data[[#This Row],[Order_Date]],"yyy")</f>
        <v>2024</v>
      </c>
      <c r="E99" s="4" t="str">
        <f>TEXT(Sales_Data[[#This Row],[Order_Date]],"mmm")</f>
        <v>May</v>
      </c>
      <c r="F99" t="s">
        <v>10</v>
      </c>
      <c r="G99" t="s">
        <v>15</v>
      </c>
      <c r="H99" t="s">
        <v>18</v>
      </c>
      <c r="I99">
        <v>4</v>
      </c>
      <c r="J99">
        <v>2684</v>
      </c>
      <c r="K99">
        <v>0</v>
      </c>
      <c r="L99">
        <v>10736</v>
      </c>
      <c r="M99">
        <v>1024</v>
      </c>
    </row>
    <row r="100" spans="1:13" x14ac:dyDescent="0.25">
      <c r="A100">
        <v>99</v>
      </c>
      <c r="B100" s="4">
        <v>45317</v>
      </c>
      <c r="C100" s="4" t="str">
        <f>TEXT(Sales_Data[[#This Row],[Order_Date]],"mmm-yyyy")</f>
        <v>Jan-2024</v>
      </c>
      <c r="D100" s="4" t="str">
        <f>TEXT(Sales_Data[[#This Row],[Order_Date]],"yyy")</f>
        <v>2024</v>
      </c>
      <c r="E100" s="4" t="str">
        <f>TEXT(Sales_Data[[#This Row],[Order_Date]],"mmm")</f>
        <v>Jan</v>
      </c>
      <c r="F100" t="s">
        <v>10</v>
      </c>
      <c r="G100" t="s">
        <v>15</v>
      </c>
      <c r="H100" t="s">
        <v>26</v>
      </c>
      <c r="I100">
        <v>5</v>
      </c>
      <c r="J100">
        <v>4929</v>
      </c>
      <c r="K100">
        <v>0.1</v>
      </c>
      <c r="L100">
        <v>22180.5</v>
      </c>
      <c r="M100">
        <v>1037</v>
      </c>
    </row>
    <row r="101" spans="1:13" x14ac:dyDescent="0.25">
      <c r="A101">
        <v>100</v>
      </c>
      <c r="B101" s="4">
        <v>45428</v>
      </c>
      <c r="C101" s="4" t="str">
        <f>TEXT(Sales_Data[[#This Row],[Order_Date]],"mmm-yyyy")</f>
        <v>May-2024</v>
      </c>
      <c r="D101" s="4" t="str">
        <f>TEXT(Sales_Data[[#This Row],[Order_Date]],"yyy")</f>
        <v>2024</v>
      </c>
      <c r="E101" s="4" t="str">
        <f>TEXT(Sales_Data[[#This Row],[Order_Date]],"mmm")</f>
        <v>May</v>
      </c>
      <c r="F101" t="s">
        <v>10</v>
      </c>
      <c r="G101" t="s">
        <v>15</v>
      </c>
      <c r="H101" t="s">
        <v>25</v>
      </c>
      <c r="I101">
        <v>3</v>
      </c>
      <c r="J101">
        <v>2576</v>
      </c>
      <c r="K101">
        <v>0</v>
      </c>
      <c r="L101">
        <v>7728</v>
      </c>
      <c r="M101">
        <v>1035</v>
      </c>
    </row>
    <row r="102" spans="1:13" x14ac:dyDescent="0.25">
      <c r="A102">
        <v>101</v>
      </c>
      <c r="B102" s="4">
        <v>45455</v>
      </c>
      <c r="C102" s="4" t="str">
        <f>TEXT(Sales_Data[[#This Row],[Order_Date]],"mmm-yyyy")</f>
        <v>Jun-2024</v>
      </c>
      <c r="D102" s="4" t="str">
        <f>TEXT(Sales_Data[[#This Row],[Order_Date]],"yyy")</f>
        <v>2024</v>
      </c>
      <c r="E102" s="4" t="str">
        <f>TEXT(Sales_Data[[#This Row],[Order_Date]],"mmm")</f>
        <v>Jun</v>
      </c>
      <c r="F102" t="s">
        <v>12</v>
      </c>
      <c r="G102" t="s">
        <v>15</v>
      </c>
      <c r="H102" t="s">
        <v>18</v>
      </c>
      <c r="I102">
        <v>9</v>
      </c>
      <c r="J102">
        <v>2493</v>
      </c>
      <c r="K102">
        <v>0.05</v>
      </c>
      <c r="L102">
        <v>21315.15</v>
      </c>
      <c r="M102">
        <v>1013</v>
      </c>
    </row>
    <row r="103" spans="1:13" x14ac:dyDescent="0.25">
      <c r="A103">
        <v>102</v>
      </c>
      <c r="B103" s="4">
        <v>45379</v>
      </c>
      <c r="C103" s="4" t="str">
        <f>TEXT(Sales_Data[[#This Row],[Order_Date]],"mmm-yyyy")</f>
        <v>Mar-2024</v>
      </c>
      <c r="D103" s="4" t="str">
        <f>TEXT(Sales_Data[[#This Row],[Order_Date]],"yyy")</f>
        <v>2024</v>
      </c>
      <c r="E103" s="4" t="str">
        <f>TEXT(Sales_Data[[#This Row],[Order_Date]],"mmm")</f>
        <v>Mar</v>
      </c>
      <c r="F103" t="s">
        <v>10</v>
      </c>
      <c r="G103" t="s">
        <v>15</v>
      </c>
      <c r="H103" t="s">
        <v>25</v>
      </c>
      <c r="I103">
        <v>8</v>
      </c>
      <c r="J103">
        <v>4021</v>
      </c>
      <c r="K103">
        <v>0.15</v>
      </c>
      <c r="L103">
        <v>27342.799999999999</v>
      </c>
      <c r="M103">
        <v>1006</v>
      </c>
    </row>
    <row r="104" spans="1:13" x14ac:dyDescent="0.25">
      <c r="A104">
        <v>103</v>
      </c>
      <c r="B104" s="4">
        <v>45417</v>
      </c>
      <c r="C104" s="4" t="str">
        <f>TEXT(Sales_Data[[#This Row],[Order_Date]],"mmm-yyyy")</f>
        <v>May-2024</v>
      </c>
      <c r="D104" s="4" t="str">
        <f>TEXT(Sales_Data[[#This Row],[Order_Date]],"yyy")</f>
        <v>2024</v>
      </c>
      <c r="E104" s="4" t="str">
        <f>TEXT(Sales_Data[[#This Row],[Order_Date]],"mmm")</f>
        <v>May</v>
      </c>
      <c r="F104" t="s">
        <v>11</v>
      </c>
      <c r="G104" t="s">
        <v>16</v>
      </c>
      <c r="H104" t="s">
        <v>21</v>
      </c>
      <c r="I104">
        <v>2</v>
      </c>
      <c r="J104">
        <v>635</v>
      </c>
      <c r="K104">
        <v>0.15</v>
      </c>
      <c r="L104">
        <v>1079.5</v>
      </c>
      <c r="M104">
        <v>1073</v>
      </c>
    </row>
    <row r="105" spans="1:13" x14ac:dyDescent="0.25">
      <c r="A105">
        <v>104</v>
      </c>
      <c r="B105" s="4">
        <v>45436</v>
      </c>
      <c r="C105" s="4" t="str">
        <f>TEXT(Sales_Data[[#This Row],[Order_Date]],"mmm-yyyy")</f>
        <v>May-2024</v>
      </c>
      <c r="D105" s="4" t="str">
        <f>TEXT(Sales_Data[[#This Row],[Order_Date]],"yyy")</f>
        <v>2024</v>
      </c>
      <c r="E105" s="4" t="str">
        <f>TEXT(Sales_Data[[#This Row],[Order_Date]],"mmm")</f>
        <v>May</v>
      </c>
      <c r="F105" t="s">
        <v>13</v>
      </c>
      <c r="G105" t="s">
        <v>14</v>
      </c>
      <c r="H105" t="s">
        <v>23</v>
      </c>
      <c r="I105">
        <v>1</v>
      </c>
      <c r="J105">
        <v>1342</v>
      </c>
      <c r="K105">
        <v>0.05</v>
      </c>
      <c r="L105">
        <v>1274.9000000000001</v>
      </c>
      <c r="M105">
        <v>1010</v>
      </c>
    </row>
    <row r="106" spans="1:13" x14ac:dyDescent="0.25">
      <c r="A106">
        <v>105</v>
      </c>
      <c r="B106" s="4">
        <v>45425</v>
      </c>
      <c r="C106" s="4" t="str">
        <f>TEXT(Sales_Data[[#This Row],[Order_Date]],"mmm-yyyy")</f>
        <v>May-2024</v>
      </c>
      <c r="D106" s="4" t="str">
        <f>TEXT(Sales_Data[[#This Row],[Order_Date]],"yyy")</f>
        <v>2024</v>
      </c>
      <c r="E106" s="4" t="str">
        <f>TEXT(Sales_Data[[#This Row],[Order_Date]],"mmm")</f>
        <v>May</v>
      </c>
      <c r="F106" t="s">
        <v>12</v>
      </c>
      <c r="G106" t="s">
        <v>15</v>
      </c>
      <c r="H106" t="s">
        <v>18</v>
      </c>
      <c r="I106">
        <v>9</v>
      </c>
      <c r="J106">
        <v>3509</v>
      </c>
      <c r="K106">
        <v>0.05</v>
      </c>
      <c r="L106">
        <v>30001.95</v>
      </c>
      <c r="M106">
        <v>1057</v>
      </c>
    </row>
    <row r="107" spans="1:13" x14ac:dyDescent="0.25">
      <c r="A107">
        <v>106</v>
      </c>
      <c r="B107" s="4">
        <v>45437</v>
      </c>
      <c r="C107" s="4" t="str">
        <f>TEXT(Sales_Data[[#This Row],[Order_Date]],"mmm-yyyy")</f>
        <v>May-2024</v>
      </c>
      <c r="D107" s="4" t="str">
        <f>TEXT(Sales_Data[[#This Row],[Order_Date]],"yyy")</f>
        <v>2024</v>
      </c>
      <c r="E107" s="4" t="str">
        <f>TEXT(Sales_Data[[#This Row],[Order_Date]],"mmm")</f>
        <v>May</v>
      </c>
      <c r="F107" t="s">
        <v>11</v>
      </c>
      <c r="G107" t="s">
        <v>16</v>
      </c>
      <c r="H107" t="s">
        <v>21</v>
      </c>
      <c r="I107">
        <v>10</v>
      </c>
      <c r="J107">
        <v>3612</v>
      </c>
      <c r="K107">
        <v>0.1</v>
      </c>
      <c r="L107">
        <v>32508</v>
      </c>
      <c r="M107">
        <v>1078</v>
      </c>
    </row>
    <row r="108" spans="1:13" x14ac:dyDescent="0.25">
      <c r="A108">
        <v>107</v>
      </c>
      <c r="B108" s="4">
        <v>45461</v>
      </c>
      <c r="C108" s="4" t="str">
        <f>TEXT(Sales_Data[[#This Row],[Order_Date]],"mmm-yyyy")</f>
        <v>Jun-2024</v>
      </c>
      <c r="D108" s="4" t="str">
        <f>TEXT(Sales_Data[[#This Row],[Order_Date]],"yyy")</f>
        <v>2024</v>
      </c>
      <c r="E108" s="4" t="str">
        <f>TEXT(Sales_Data[[#This Row],[Order_Date]],"mmm")</f>
        <v>Jun</v>
      </c>
      <c r="F108" t="s">
        <v>11</v>
      </c>
      <c r="G108" t="s">
        <v>14</v>
      </c>
      <c r="H108" t="s">
        <v>17</v>
      </c>
      <c r="I108">
        <v>4</v>
      </c>
      <c r="J108">
        <v>1828</v>
      </c>
      <c r="K108">
        <v>0.1</v>
      </c>
      <c r="L108">
        <v>6580.8</v>
      </c>
      <c r="M108">
        <v>1020</v>
      </c>
    </row>
    <row r="109" spans="1:13" x14ac:dyDescent="0.25">
      <c r="A109">
        <v>108</v>
      </c>
      <c r="B109" s="4">
        <v>45292</v>
      </c>
      <c r="C109" s="4" t="str">
        <f>TEXT(Sales_Data[[#This Row],[Order_Date]],"mmm-yyyy")</f>
        <v>Jan-2024</v>
      </c>
      <c r="D109" s="4" t="str">
        <f>TEXT(Sales_Data[[#This Row],[Order_Date]],"yyy")</f>
        <v>2024</v>
      </c>
      <c r="E109" s="4" t="str">
        <f>TEXT(Sales_Data[[#This Row],[Order_Date]],"mmm")</f>
        <v>Jan</v>
      </c>
      <c r="F109" t="s">
        <v>12</v>
      </c>
      <c r="G109" t="s">
        <v>15</v>
      </c>
      <c r="H109" t="s">
        <v>24</v>
      </c>
      <c r="I109">
        <v>9</v>
      </c>
      <c r="J109">
        <v>714</v>
      </c>
      <c r="K109">
        <v>0.05</v>
      </c>
      <c r="L109">
        <v>6104.7</v>
      </c>
      <c r="M109">
        <v>1057</v>
      </c>
    </row>
    <row r="110" spans="1:13" x14ac:dyDescent="0.25">
      <c r="A110">
        <v>109</v>
      </c>
      <c r="B110" s="4">
        <v>45351</v>
      </c>
      <c r="C110" s="4" t="str">
        <f>TEXT(Sales_Data[[#This Row],[Order_Date]],"mmm-yyyy")</f>
        <v>Feb-2024</v>
      </c>
      <c r="D110" s="4" t="str">
        <f>TEXT(Sales_Data[[#This Row],[Order_Date]],"yyy")</f>
        <v>2024</v>
      </c>
      <c r="E110" s="4" t="str">
        <f>TEXT(Sales_Data[[#This Row],[Order_Date]],"mmm")</f>
        <v>Feb</v>
      </c>
      <c r="F110" t="s">
        <v>13</v>
      </c>
      <c r="G110" t="s">
        <v>14</v>
      </c>
      <c r="H110" t="s">
        <v>23</v>
      </c>
      <c r="I110">
        <v>8</v>
      </c>
      <c r="J110">
        <v>2485</v>
      </c>
      <c r="K110">
        <v>0</v>
      </c>
      <c r="L110">
        <v>19880</v>
      </c>
      <c r="M110">
        <v>1090</v>
      </c>
    </row>
    <row r="111" spans="1:13" x14ac:dyDescent="0.25">
      <c r="A111">
        <v>110</v>
      </c>
      <c r="B111" s="4">
        <v>45359</v>
      </c>
      <c r="C111" s="4" t="str">
        <f>TEXT(Sales_Data[[#This Row],[Order_Date]],"mmm-yyyy")</f>
        <v>Mar-2024</v>
      </c>
      <c r="D111" s="4" t="str">
        <f>TEXT(Sales_Data[[#This Row],[Order_Date]],"yyy")</f>
        <v>2024</v>
      </c>
      <c r="E111" s="4" t="str">
        <f>TEXT(Sales_Data[[#This Row],[Order_Date]],"mmm")</f>
        <v>Mar</v>
      </c>
      <c r="F111" t="s">
        <v>10</v>
      </c>
      <c r="G111" t="s">
        <v>16</v>
      </c>
      <c r="H111" t="s">
        <v>20</v>
      </c>
      <c r="I111">
        <v>8</v>
      </c>
      <c r="J111">
        <v>683</v>
      </c>
      <c r="K111">
        <v>0.05</v>
      </c>
      <c r="L111">
        <v>5190.8</v>
      </c>
      <c r="M111">
        <v>1054</v>
      </c>
    </row>
    <row r="112" spans="1:13" x14ac:dyDescent="0.25">
      <c r="A112">
        <v>111</v>
      </c>
      <c r="B112" s="4">
        <v>45310</v>
      </c>
      <c r="C112" s="4" t="str">
        <f>TEXT(Sales_Data[[#This Row],[Order_Date]],"mmm-yyyy")</f>
        <v>Jan-2024</v>
      </c>
      <c r="D112" s="4" t="str">
        <f>TEXT(Sales_Data[[#This Row],[Order_Date]],"yyy")</f>
        <v>2024</v>
      </c>
      <c r="E112" s="4" t="str">
        <f>TEXT(Sales_Data[[#This Row],[Order_Date]],"mmm")</f>
        <v>Jan</v>
      </c>
      <c r="F112" t="s">
        <v>11</v>
      </c>
      <c r="G112" t="s">
        <v>15</v>
      </c>
      <c r="H112" t="s">
        <v>24</v>
      </c>
      <c r="I112">
        <v>3</v>
      </c>
      <c r="J112">
        <v>2276</v>
      </c>
      <c r="K112">
        <v>0.05</v>
      </c>
      <c r="L112">
        <v>6486.6</v>
      </c>
      <c r="M112">
        <v>1021</v>
      </c>
    </row>
    <row r="113" spans="1:13" x14ac:dyDescent="0.25">
      <c r="A113">
        <v>112</v>
      </c>
      <c r="B113" s="4">
        <v>45323</v>
      </c>
      <c r="C113" s="4" t="str">
        <f>TEXT(Sales_Data[[#This Row],[Order_Date]],"mmm-yyyy")</f>
        <v>Feb-2024</v>
      </c>
      <c r="D113" s="4" t="str">
        <f>TEXT(Sales_Data[[#This Row],[Order_Date]],"yyy")</f>
        <v>2024</v>
      </c>
      <c r="E113" s="4" t="str">
        <f>TEXT(Sales_Data[[#This Row],[Order_Date]],"mmm")</f>
        <v>Feb</v>
      </c>
      <c r="F113" t="s">
        <v>12</v>
      </c>
      <c r="G113" t="s">
        <v>16</v>
      </c>
      <c r="H113" t="s">
        <v>20</v>
      </c>
      <c r="I113">
        <v>10</v>
      </c>
      <c r="J113">
        <v>2464</v>
      </c>
      <c r="K113">
        <v>0.15</v>
      </c>
      <c r="L113">
        <v>20944</v>
      </c>
      <c r="M113">
        <v>1088</v>
      </c>
    </row>
    <row r="114" spans="1:13" x14ac:dyDescent="0.25">
      <c r="A114">
        <v>113</v>
      </c>
      <c r="B114" s="4">
        <v>45404</v>
      </c>
      <c r="C114" s="4" t="str">
        <f>TEXT(Sales_Data[[#This Row],[Order_Date]],"mmm-yyyy")</f>
        <v>Apr-2024</v>
      </c>
      <c r="D114" s="4" t="str">
        <f>TEXT(Sales_Data[[#This Row],[Order_Date]],"yyy")</f>
        <v>2024</v>
      </c>
      <c r="E114" s="4" t="str">
        <f>TEXT(Sales_Data[[#This Row],[Order_Date]],"mmm")</f>
        <v>Apr</v>
      </c>
      <c r="F114" t="s">
        <v>11</v>
      </c>
      <c r="G114" t="s">
        <v>16</v>
      </c>
      <c r="H114" t="s">
        <v>20</v>
      </c>
      <c r="I114">
        <v>7</v>
      </c>
      <c r="J114">
        <v>2330</v>
      </c>
      <c r="K114">
        <v>0.15</v>
      </c>
      <c r="L114">
        <v>13863.5</v>
      </c>
      <c r="M114">
        <v>1076</v>
      </c>
    </row>
    <row r="115" spans="1:13" x14ac:dyDescent="0.25">
      <c r="A115">
        <v>114</v>
      </c>
      <c r="B115" s="4">
        <v>45315</v>
      </c>
      <c r="C115" s="4" t="str">
        <f>TEXT(Sales_Data[[#This Row],[Order_Date]],"mmm-yyyy")</f>
        <v>Jan-2024</v>
      </c>
      <c r="D115" s="4" t="str">
        <f>TEXT(Sales_Data[[#This Row],[Order_Date]],"yyy")</f>
        <v>2024</v>
      </c>
      <c r="E115" s="4" t="str">
        <f>TEXT(Sales_Data[[#This Row],[Order_Date]],"mmm")</f>
        <v>Jan</v>
      </c>
      <c r="F115" t="s">
        <v>10</v>
      </c>
      <c r="G115" t="s">
        <v>15</v>
      </c>
      <c r="H115" t="s">
        <v>26</v>
      </c>
      <c r="I115">
        <v>6</v>
      </c>
      <c r="J115">
        <v>2151</v>
      </c>
      <c r="K115">
        <v>0</v>
      </c>
      <c r="L115">
        <v>12906</v>
      </c>
      <c r="M115">
        <v>1086</v>
      </c>
    </row>
    <row r="116" spans="1:13" x14ac:dyDescent="0.25">
      <c r="A116">
        <v>115</v>
      </c>
      <c r="B116" s="4">
        <v>45336</v>
      </c>
      <c r="C116" s="4" t="str">
        <f>TEXT(Sales_Data[[#This Row],[Order_Date]],"mmm-yyyy")</f>
        <v>Feb-2024</v>
      </c>
      <c r="D116" s="4" t="str">
        <f>TEXT(Sales_Data[[#This Row],[Order_Date]],"yyy")</f>
        <v>2024</v>
      </c>
      <c r="E116" s="4" t="str">
        <f>TEXT(Sales_Data[[#This Row],[Order_Date]],"mmm")</f>
        <v>Feb</v>
      </c>
      <c r="F116" t="s">
        <v>12</v>
      </c>
      <c r="G116" t="s">
        <v>14</v>
      </c>
      <c r="H116" t="s">
        <v>23</v>
      </c>
      <c r="I116">
        <v>1</v>
      </c>
      <c r="J116">
        <v>2307</v>
      </c>
      <c r="K116">
        <v>0</v>
      </c>
      <c r="L116">
        <v>2307</v>
      </c>
      <c r="M116">
        <v>1066</v>
      </c>
    </row>
    <row r="117" spans="1:13" x14ac:dyDescent="0.25">
      <c r="A117">
        <v>116</v>
      </c>
      <c r="B117" s="4">
        <v>45454</v>
      </c>
      <c r="C117" s="4" t="str">
        <f>TEXT(Sales_Data[[#This Row],[Order_Date]],"mmm-yyyy")</f>
        <v>Jun-2024</v>
      </c>
      <c r="D117" s="4" t="str">
        <f>TEXT(Sales_Data[[#This Row],[Order_Date]],"yyy")</f>
        <v>2024</v>
      </c>
      <c r="E117" s="4" t="str">
        <f>TEXT(Sales_Data[[#This Row],[Order_Date]],"mmm")</f>
        <v>Jun</v>
      </c>
      <c r="F117" t="s">
        <v>12</v>
      </c>
      <c r="G117" t="s">
        <v>14</v>
      </c>
      <c r="H117" t="s">
        <v>22</v>
      </c>
      <c r="I117">
        <v>5</v>
      </c>
      <c r="J117">
        <v>1586</v>
      </c>
      <c r="K117">
        <v>0.15</v>
      </c>
      <c r="L117">
        <v>6740.5</v>
      </c>
      <c r="M117">
        <v>1011</v>
      </c>
    </row>
    <row r="118" spans="1:13" x14ac:dyDescent="0.25">
      <c r="A118">
        <v>117</v>
      </c>
      <c r="B118" s="4">
        <v>45463</v>
      </c>
      <c r="C118" s="4" t="str">
        <f>TEXT(Sales_Data[[#This Row],[Order_Date]],"mmm-yyyy")</f>
        <v>Jun-2024</v>
      </c>
      <c r="D118" s="4" t="str">
        <f>TEXT(Sales_Data[[#This Row],[Order_Date]],"yyy")</f>
        <v>2024</v>
      </c>
      <c r="E118" s="4" t="str">
        <f>TEXT(Sales_Data[[#This Row],[Order_Date]],"mmm")</f>
        <v>Jun</v>
      </c>
      <c r="F118" t="s">
        <v>11</v>
      </c>
      <c r="G118" t="s">
        <v>16</v>
      </c>
      <c r="H118" t="s">
        <v>21</v>
      </c>
      <c r="I118">
        <v>7</v>
      </c>
      <c r="J118">
        <v>2830</v>
      </c>
      <c r="K118">
        <v>0.1</v>
      </c>
      <c r="L118">
        <v>17829</v>
      </c>
      <c r="M118">
        <v>1020</v>
      </c>
    </row>
    <row r="119" spans="1:13" x14ac:dyDescent="0.25">
      <c r="A119">
        <v>118</v>
      </c>
      <c r="B119" s="4">
        <v>45432</v>
      </c>
      <c r="C119" s="4" t="str">
        <f>TEXT(Sales_Data[[#This Row],[Order_Date]],"mmm-yyyy")</f>
        <v>May-2024</v>
      </c>
      <c r="D119" s="4" t="str">
        <f>TEXT(Sales_Data[[#This Row],[Order_Date]],"yyy")</f>
        <v>2024</v>
      </c>
      <c r="E119" s="4" t="str">
        <f>TEXT(Sales_Data[[#This Row],[Order_Date]],"mmm")</f>
        <v>May</v>
      </c>
      <c r="F119" t="s">
        <v>11</v>
      </c>
      <c r="G119" t="s">
        <v>16</v>
      </c>
      <c r="H119" t="s">
        <v>21</v>
      </c>
      <c r="I119">
        <v>8</v>
      </c>
      <c r="J119">
        <v>2461</v>
      </c>
      <c r="K119">
        <v>0.15</v>
      </c>
      <c r="L119">
        <v>16734.8</v>
      </c>
      <c r="M119">
        <v>1058</v>
      </c>
    </row>
    <row r="120" spans="1:13" x14ac:dyDescent="0.25">
      <c r="A120">
        <v>119</v>
      </c>
      <c r="B120" s="4">
        <v>45395</v>
      </c>
      <c r="C120" s="4" t="str">
        <f>TEXT(Sales_Data[[#This Row],[Order_Date]],"mmm-yyyy")</f>
        <v>Apr-2024</v>
      </c>
      <c r="D120" s="4" t="str">
        <f>TEXT(Sales_Data[[#This Row],[Order_Date]],"yyy")</f>
        <v>2024</v>
      </c>
      <c r="E120" s="4" t="str">
        <f>TEXT(Sales_Data[[#This Row],[Order_Date]],"mmm")</f>
        <v>Apr</v>
      </c>
      <c r="F120" t="s">
        <v>11</v>
      </c>
      <c r="G120" t="s">
        <v>15</v>
      </c>
      <c r="H120" t="s">
        <v>25</v>
      </c>
      <c r="I120">
        <v>5</v>
      </c>
      <c r="J120">
        <v>2748</v>
      </c>
      <c r="K120">
        <v>0</v>
      </c>
      <c r="L120">
        <v>13740</v>
      </c>
      <c r="M120">
        <v>1084</v>
      </c>
    </row>
    <row r="121" spans="1:13" x14ac:dyDescent="0.25">
      <c r="A121">
        <v>120</v>
      </c>
      <c r="B121" s="4">
        <v>45424</v>
      </c>
      <c r="C121" s="4" t="str">
        <f>TEXT(Sales_Data[[#This Row],[Order_Date]],"mmm-yyyy")</f>
        <v>May-2024</v>
      </c>
      <c r="D121" s="4" t="str">
        <f>TEXT(Sales_Data[[#This Row],[Order_Date]],"yyy")</f>
        <v>2024</v>
      </c>
      <c r="E121" s="4" t="str">
        <f>TEXT(Sales_Data[[#This Row],[Order_Date]],"mmm")</f>
        <v>May</v>
      </c>
      <c r="F121" t="s">
        <v>13</v>
      </c>
      <c r="G121" t="s">
        <v>14</v>
      </c>
      <c r="H121" t="s">
        <v>22</v>
      </c>
      <c r="I121">
        <v>7</v>
      </c>
      <c r="J121">
        <v>544</v>
      </c>
      <c r="K121">
        <v>0.05</v>
      </c>
      <c r="L121">
        <v>3617.6</v>
      </c>
      <c r="M121">
        <v>1079</v>
      </c>
    </row>
    <row r="122" spans="1:13" x14ac:dyDescent="0.25">
      <c r="A122">
        <v>121</v>
      </c>
      <c r="B122" s="4">
        <v>45360</v>
      </c>
      <c r="C122" s="4" t="str">
        <f>TEXT(Sales_Data[[#This Row],[Order_Date]],"mmm-yyyy")</f>
        <v>Mar-2024</v>
      </c>
      <c r="D122" s="4" t="str">
        <f>TEXT(Sales_Data[[#This Row],[Order_Date]],"yyy")</f>
        <v>2024</v>
      </c>
      <c r="E122" s="4" t="str">
        <f>TEXT(Sales_Data[[#This Row],[Order_Date]],"mmm")</f>
        <v>Mar</v>
      </c>
      <c r="F122" t="s">
        <v>10</v>
      </c>
      <c r="G122" t="s">
        <v>16</v>
      </c>
      <c r="H122" t="s">
        <v>20</v>
      </c>
      <c r="I122">
        <v>8</v>
      </c>
      <c r="J122">
        <v>522</v>
      </c>
      <c r="K122">
        <v>0.05</v>
      </c>
      <c r="L122">
        <v>3967.2</v>
      </c>
      <c r="M122">
        <v>1036</v>
      </c>
    </row>
    <row r="123" spans="1:13" x14ac:dyDescent="0.25">
      <c r="A123">
        <v>122</v>
      </c>
      <c r="B123" s="4">
        <v>45453</v>
      </c>
      <c r="C123" s="4" t="str">
        <f>TEXT(Sales_Data[[#This Row],[Order_Date]],"mmm-yyyy")</f>
        <v>Jun-2024</v>
      </c>
      <c r="D123" s="4" t="str">
        <f>TEXT(Sales_Data[[#This Row],[Order_Date]],"yyy")</f>
        <v>2024</v>
      </c>
      <c r="E123" s="4" t="str">
        <f>TEXT(Sales_Data[[#This Row],[Order_Date]],"mmm")</f>
        <v>Jun</v>
      </c>
      <c r="F123" t="s">
        <v>10</v>
      </c>
      <c r="G123" t="s">
        <v>16</v>
      </c>
      <c r="H123" t="s">
        <v>20</v>
      </c>
      <c r="I123">
        <v>8</v>
      </c>
      <c r="J123">
        <v>1094</v>
      </c>
      <c r="K123">
        <v>0</v>
      </c>
      <c r="L123">
        <v>8752</v>
      </c>
      <c r="M123">
        <v>1090</v>
      </c>
    </row>
    <row r="124" spans="1:13" x14ac:dyDescent="0.25">
      <c r="A124">
        <v>123</v>
      </c>
      <c r="B124" s="4">
        <v>45315</v>
      </c>
      <c r="C124" s="4" t="str">
        <f>TEXT(Sales_Data[[#This Row],[Order_Date]],"mmm-yyyy")</f>
        <v>Jan-2024</v>
      </c>
      <c r="D124" s="4" t="str">
        <f>TEXT(Sales_Data[[#This Row],[Order_Date]],"yyy")</f>
        <v>2024</v>
      </c>
      <c r="E124" s="4" t="str">
        <f>TEXT(Sales_Data[[#This Row],[Order_Date]],"mmm")</f>
        <v>Jan</v>
      </c>
      <c r="F124" t="s">
        <v>10</v>
      </c>
      <c r="G124" t="s">
        <v>15</v>
      </c>
      <c r="H124" t="s">
        <v>25</v>
      </c>
      <c r="I124">
        <v>9</v>
      </c>
      <c r="J124">
        <v>212</v>
      </c>
      <c r="K124">
        <v>0.15</v>
      </c>
      <c r="L124">
        <v>1621.8</v>
      </c>
      <c r="M124">
        <v>1014</v>
      </c>
    </row>
    <row r="125" spans="1:13" x14ac:dyDescent="0.25">
      <c r="A125">
        <v>124</v>
      </c>
      <c r="B125" s="4">
        <v>45422</v>
      </c>
      <c r="C125" s="4" t="str">
        <f>TEXT(Sales_Data[[#This Row],[Order_Date]],"mmm-yyyy")</f>
        <v>May-2024</v>
      </c>
      <c r="D125" s="4" t="str">
        <f>TEXT(Sales_Data[[#This Row],[Order_Date]],"yyy")</f>
        <v>2024</v>
      </c>
      <c r="E125" s="4" t="str">
        <f>TEXT(Sales_Data[[#This Row],[Order_Date]],"mmm")</f>
        <v>May</v>
      </c>
      <c r="F125" t="s">
        <v>13</v>
      </c>
      <c r="G125" t="s">
        <v>16</v>
      </c>
      <c r="H125" t="s">
        <v>19</v>
      </c>
      <c r="I125">
        <v>3</v>
      </c>
      <c r="J125">
        <v>4182</v>
      </c>
      <c r="K125">
        <v>0.1</v>
      </c>
      <c r="L125">
        <v>11291.4</v>
      </c>
      <c r="M125">
        <v>1053</v>
      </c>
    </row>
    <row r="126" spans="1:13" x14ac:dyDescent="0.25">
      <c r="A126">
        <v>125</v>
      </c>
      <c r="B126" s="4">
        <v>45390</v>
      </c>
      <c r="C126" s="4" t="str">
        <f>TEXT(Sales_Data[[#This Row],[Order_Date]],"mmm-yyyy")</f>
        <v>Apr-2024</v>
      </c>
      <c r="D126" s="4" t="str">
        <f>TEXT(Sales_Data[[#This Row],[Order_Date]],"yyy")</f>
        <v>2024</v>
      </c>
      <c r="E126" s="4" t="str">
        <f>TEXT(Sales_Data[[#This Row],[Order_Date]],"mmm")</f>
        <v>Apr</v>
      </c>
      <c r="F126" t="s">
        <v>10</v>
      </c>
      <c r="G126" t="s">
        <v>16</v>
      </c>
      <c r="H126" t="s">
        <v>21</v>
      </c>
      <c r="I126">
        <v>4</v>
      </c>
      <c r="J126">
        <v>3841</v>
      </c>
      <c r="K126">
        <v>0.05</v>
      </c>
      <c r="L126">
        <v>14595.8</v>
      </c>
      <c r="M126">
        <v>1076</v>
      </c>
    </row>
    <row r="127" spans="1:13" x14ac:dyDescent="0.25">
      <c r="A127">
        <v>126</v>
      </c>
      <c r="B127" s="4">
        <v>45398</v>
      </c>
      <c r="C127" s="4" t="str">
        <f>TEXT(Sales_Data[[#This Row],[Order_Date]],"mmm-yyyy")</f>
        <v>Apr-2024</v>
      </c>
      <c r="D127" s="4" t="str">
        <f>TEXT(Sales_Data[[#This Row],[Order_Date]],"yyy")</f>
        <v>2024</v>
      </c>
      <c r="E127" s="4" t="str">
        <f>TEXT(Sales_Data[[#This Row],[Order_Date]],"mmm")</f>
        <v>Apr</v>
      </c>
      <c r="F127" t="s">
        <v>13</v>
      </c>
      <c r="G127" t="s">
        <v>14</v>
      </c>
      <c r="H127" t="s">
        <v>23</v>
      </c>
      <c r="I127">
        <v>3</v>
      </c>
      <c r="J127">
        <v>671</v>
      </c>
      <c r="K127">
        <v>0.1</v>
      </c>
      <c r="L127">
        <v>1811.7</v>
      </c>
      <c r="M127">
        <v>1100</v>
      </c>
    </row>
    <row r="128" spans="1:13" x14ac:dyDescent="0.25">
      <c r="A128">
        <v>127</v>
      </c>
      <c r="B128" s="4">
        <v>45442</v>
      </c>
      <c r="C128" s="4" t="str">
        <f>TEXT(Sales_Data[[#This Row],[Order_Date]],"mmm-yyyy")</f>
        <v>May-2024</v>
      </c>
      <c r="D128" s="4" t="str">
        <f>TEXT(Sales_Data[[#This Row],[Order_Date]],"yyy")</f>
        <v>2024</v>
      </c>
      <c r="E128" s="4" t="str">
        <f>TEXT(Sales_Data[[#This Row],[Order_Date]],"mmm")</f>
        <v>May</v>
      </c>
      <c r="F128" t="s">
        <v>12</v>
      </c>
      <c r="G128" t="s">
        <v>14</v>
      </c>
      <c r="H128" t="s">
        <v>22</v>
      </c>
      <c r="I128">
        <v>1</v>
      </c>
      <c r="J128">
        <v>2417</v>
      </c>
      <c r="K128">
        <v>0.1</v>
      </c>
      <c r="L128">
        <v>2175.3000000000002</v>
      </c>
      <c r="M128">
        <v>1019</v>
      </c>
    </row>
    <row r="129" spans="1:13" x14ac:dyDescent="0.25">
      <c r="A129">
        <v>128</v>
      </c>
      <c r="B129" s="4">
        <v>45433</v>
      </c>
      <c r="C129" s="4" t="str">
        <f>TEXT(Sales_Data[[#This Row],[Order_Date]],"mmm-yyyy")</f>
        <v>May-2024</v>
      </c>
      <c r="D129" s="4" t="str">
        <f>TEXT(Sales_Data[[#This Row],[Order_Date]],"yyy")</f>
        <v>2024</v>
      </c>
      <c r="E129" s="4" t="str">
        <f>TEXT(Sales_Data[[#This Row],[Order_Date]],"mmm")</f>
        <v>May</v>
      </c>
      <c r="F129" t="s">
        <v>12</v>
      </c>
      <c r="G129" t="s">
        <v>16</v>
      </c>
      <c r="H129" t="s">
        <v>20</v>
      </c>
      <c r="I129">
        <v>8</v>
      </c>
      <c r="J129">
        <v>2927</v>
      </c>
      <c r="K129">
        <v>0.1</v>
      </c>
      <c r="L129">
        <v>21074.400000000001</v>
      </c>
      <c r="M129">
        <v>1058</v>
      </c>
    </row>
    <row r="130" spans="1:13" x14ac:dyDescent="0.25">
      <c r="A130">
        <v>129</v>
      </c>
      <c r="B130" s="4">
        <v>45351</v>
      </c>
      <c r="C130" s="4" t="str">
        <f>TEXT(Sales_Data[[#This Row],[Order_Date]],"mmm-yyyy")</f>
        <v>Feb-2024</v>
      </c>
      <c r="D130" s="4" t="str">
        <f>TEXT(Sales_Data[[#This Row],[Order_Date]],"yyy")</f>
        <v>2024</v>
      </c>
      <c r="E130" s="4" t="str">
        <f>TEXT(Sales_Data[[#This Row],[Order_Date]],"mmm")</f>
        <v>Feb</v>
      </c>
      <c r="F130" t="s">
        <v>12</v>
      </c>
      <c r="G130" t="s">
        <v>16</v>
      </c>
      <c r="H130" t="s">
        <v>19</v>
      </c>
      <c r="I130">
        <v>4</v>
      </c>
      <c r="J130">
        <v>4784</v>
      </c>
      <c r="K130">
        <v>0.15</v>
      </c>
      <c r="L130">
        <v>16265.6</v>
      </c>
      <c r="M130">
        <v>1005</v>
      </c>
    </row>
    <row r="131" spans="1:13" x14ac:dyDescent="0.25">
      <c r="A131">
        <v>130</v>
      </c>
      <c r="B131" s="4">
        <v>45461</v>
      </c>
      <c r="C131" s="4" t="str">
        <f>TEXT(Sales_Data[[#This Row],[Order_Date]],"mmm-yyyy")</f>
        <v>Jun-2024</v>
      </c>
      <c r="D131" s="4" t="str">
        <f>TEXT(Sales_Data[[#This Row],[Order_Date]],"yyy")</f>
        <v>2024</v>
      </c>
      <c r="E131" s="4" t="str">
        <f>TEXT(Sales_Data[[#This Row],[Order_Date]],"mmm")</f>
        <v>Jun</v>
      </c>
      <c r="F131" t="s">
        <v>10</v>
      </c>
      <c r="G131" t="s">
        <v>16</v>
      </c>
      <c r="H131" t="s">
        <v>20</v>
      </c>
      <c r="I131">
        <v>8</v>
      </c>
      <c r="J131">
        <v>3223</v>
      </c>
      <c r="K131">
        <v>0.15</v>
      </c>
      <c r="L131">
        <v>21916.400000000001</v>
      </c>
      <c r="M131">
        <v>1063</v>
      </c>
    </row>
    <row r="132" spans="1:13" x14ac:dyDescent="0.25">
      <c r="A132">
        <v>131</v>
      </c>
      <c r="B132" s="4">
        <v>45317</v>
      </c>
      <c r="C132" s="4" t="str">
        <f>TEXT(Sales_Data[[#This Row],[Order_Date]],"mmm-yyyy")</f>
        <v>Jan-2024</v>
      </c>
      <c r="D132" s="4" t="str">
        <f>TEXT(Sales_Data[[#This Row],[Order_Date]],"yyy")</f>
        <v>2024</v>
      </c>
      <c r="E132" s="4" t="str">
        <f>TEXT(Sales_Data[[#This Row],[Order_Date]],"mmm")</f>
        <v>Jan</v>
      </c>
      <c r="F132" t="s">
        <v>12</v>
      </c>
      <c r="G132" t="s">
        <v>15</v>
      </c>
      <c r="H132" t="s">
        <v>24</v>
      </c>
      <c r="I132">
        <v>9</v>
      </c>
      <c r="J132">
        <v>4934</v>
      </c>
      <c r="K132">
        <v>0.1</v>
      </c>
      <c r="L132">
        <v>39965.4</v>
      </c>
      <c r="M132">
        <v>1012</v>
      </c>
    </row>
    <row r="133" spans="1:13" x14ac:dyDescent="0.25">
      <c r="A133">
        <v>132</v>
      </c>
      <c r="B133" s="4">
        <v>45459</v>
      </c>
      <c r="C133" s="4" t="str">
        <f>TEXT(Sales_Data[[#This Row],[Order_Date]],"mmm-yyyy")</f>
        <v>Jun-2024</v>
      </c>
      <c r="D133" s="4" t="str">
        <f>TEXT(Sales_Data[[#This Row],[Order_Date]],"yyy")</f>
        <v>2024</v>
      </c>
      <c r="E133" s="4" t="str">
        <f>TEXT(Sales_Data[[#This Row],[Order_Date]],"mmm")</f>
        <v>Jun</v>
      </c>
      <c r="F133" t="s">
        <v>10</v>
      </c>
      <c r="G133" t="s">
        <v>14</v>
      </c>
      <c r="H133" t="s">
        <v>22</v>
      </c>
      <c r="I133">
        <v>1</v>
      </c>
      <c r="J133">
        <v>1280</v>
      </c>
      <c r="K133">
        <v>0.15</v>
      </c>
      <c r="L133">
        <v>1088</v>
      </c>
      <c r="M133">
        <v>1009</v>
      </c>
    </row>
    <row r="134" spans="1:13" x14ac:dyDescent="0.25">
      <c r="A134">
        <v>133</v>
      </c>
      <c r="B134" s="4">
        <v>45376</v>
      </c>
      <c r="C134" s="4" t="str">
        <f>TEXT(Sales_Data[[#This Row],[Order_Date]],"mmm-yyyy")</f>
        <v>Mar-2024</v>
      </c>
      <c r="D134" s="4" t="str">
        <f>TEXT(Sales_Data[[#This Row],[Order_Date]],"yyy")</f>
        <v>2024</v>
      </c>
      <c r="E134" s="4" t="str">
        <f>TEXT(Sales_Data[[#This Row],[Order_Date]],"mmm")</f>
        <v>Mar</v>
      </c>
      <c r="F134" t="s">
        <v>12</v>
      </c>
      <c r="G134" t="s">
        <v>16</v>
      </c>
      <c r="H134" t="s">
        <v>21</v>
      </c>
      <c r="I134">
        <v>6</v>
      </c>
      <c r="J134">
        <v>3356</v>
      </c>
      <c r="K134">
        <v>0</v>
      </c>
      <c r="L134">
        <v>20136</v>
      </c>
      <c r="M134">
        <v>1040</v>
      </c>
    </row>
    <row r="135" spans="1:13" x14ac:dyDescent="0.25">
      <c r="A135">
        <v>134</v>
      </c>
      <c r="B135" s="4">
        <v>45450</v>
      </c>
      <c r="C135" s="4" t="str">
        <f>TEXT(Sales_Data[[#This Row],[Order_Date]],"mmm-yyyy")</f>
        <v>Jun-2024</v>
      </c>
      <c r="D135" s="4" t="str">
        <f>TEXT(Sales_Data[[#This Row],[Order_Date]],"yyy")</f>
        <v>2024</v>
      </c>
      <c r="E135" s="4" t="str">
        <f>TEXT(Sales_Data[[#This Row],[Order_Date]],"mmm")</f>
        <v>Jun</v>
      </c>
      <c r="F135" t="s">
        <v>11</v>
      </c>
      <c r="G135" t="s">
        <v>14</v>
      </c>
      <c r="H135" t="s">
        <v>23</v>
      </c>
      <c r="I135">
        <v>8</v>
      </c>
      <c r="J135">
        <v>4532</v>
      </c>
      <c r="K135">
        <v>0</v>
      </c>
      <c r="L135">
        <v>36256</v>
      </c>
      <c r="M135">
        <v>1030</v>
      </c>
    </row>
    <row r="136" spans="1:13" x14ac:dyDescent="0.25">
      <c r="A136">
        <v>135</v>
      </c>
      <c r="B136" s="4">
        <v>45403</v>
      </c>
      <c r="C136" s="4" t="str">
        <f>TEXT(Sales_Data[[#This Row],[Order_Date]],"mmm-yyyy")</f>
        <v>Apr-2024</v>
      </c>
      <c r="D136" s="4" t="str">
        <f>TEXT(Sales_Data[[#This Row],[Order_Date]],"yyy")</f>
        <v>2024</v>
      </c>
      <c r="E136" s="4" t="str">
        <f>TEXT(Sales_Data[[#This Row],[Order_Date]],"mmm")</f>
        <v>Apr</v>
      </c>
      <c r="F136" t="s">
        <v>11</v>
      </c>
      <c r="G136" t="s">
        <v>14</v>
      </c>
      <c r="H136" t="s">
        <v>23</v>
      </c>
      <c r="I136">
        <v>5</v>
      </c>
      <c r="J136">
        <v>1963</v>
      </c>
      <c r="K136">
        <v>0</v>
      </c>
      <c r="L136">
        <v>9815</v>
      </c>
      <c r="M136">
        <v>1097</v>
      </c>
    </row>
    <row r="137" spans="1:13" x14ac:dyDescent="0.25">
      <c r="A137">
        <v>136</v>
      </c>
      <c r="B137" s="4">
        <v>45469</v>
      </c>
      <c r="C137" s="4" t="str">
        <f>TEXT(Sales_Data[[#This Row],[Order_Date]],"mmm-yyyy")</f>
        <v>Jun-2024</v>
      </c>
      <c r="D137" s="4" t="str">
        <f>TEXT(Sales_Data[[#This Row],[Order_Date]],"yyy")</f>
        <v>2024</v>
      </c>
      <c r="E137" s="4" t="str">
        <f>TEXT(Sales_Data[[#This Row],[Order_Date]],"mmm")</f>
        <v>Jun</v>
      </c>
      <c r="F137" t="s">
        <v>13</v>
      </c>
      <c r="G137" t="s">
        <v>14</v>
      </c>
      <c r="H137" t="s">
        <v>23</v>
      </c>
      <c r="I137">
        <v>2</v>
      </c>
      <c r="J137">
        <v>3734</v>
      </c>
      <c r="K137">
        <v>0.05</v>
      </c>
      <c r="L137">
        <v>7094.6</v>
      </c>
      <c r="M137">
        <v>1003</v>
      </c>
    </row>
    <row r="138" spans="1:13" x14ac:dyDescent="0.25">
      <c r="A138">
        <v>137</v>
      </c>
      <c r="B138" s="4">
        <v>45387</v>
      </c>
      <c r="C138" s="4" t="str">
        <f>TEXT(Sales_Data[[#This Row],[Order_Date]],"mmm-yyyy")</f>
        <v>Apr-2024</v>
      </c>
      <c r="D138" s="4" t="str">
        <f>TEXT(Sales_Data[[#This Row],[Order_Date]],"yyy")</f>
        <v>2024</v>
      </c>
      <c r="E138" s="4" t="str">
        <f>TEXT(Sales_Data[[#This Row],[Order_Date]],"mmm")</f>
        <v>Apr</v>
      </c>
      <c r="F138" t="s">
        <v>12</v>
      </c>
      <c r="G138" t="s">
        <v>15</v>
      </c>
      <c r="H138" t="s">
        <v>25</v>
      </c>
      <c r="I138">
        <v>1</v>
      </c>
      <c r="J138">
        <v>2503</v>
      </c>
      <c r="K138">
        <v>0.1</v>
      </c>
      <c r="L138">
        <v>2252.6999999999998</v>
      </c>
      <c r="M138">
        <v>1018</v>
      </c>
    </row>
    <row r="139" spans="1:13" x14ac:dyDescent="0.25">
      <c r="A139">
        <v>138</v>
      </c>
      <c r="B139" s="4">
        <v>45336</v>
      </c>
      <c r="C139" s="4" t="str">
        <f>TEXT(Sales_Data[[#This Row],[Order_Date]],"mmm-yyyy")</f>
        <v>Feb-2024</v>
      </c>
      <c r="D139" s="4" t="str">
        <f>TEXT(Sales_Data[[#This Row],[Order_Date]],"yyy")</f>
        <v>2024</v>
      </c>
      <c r="E139" s="4" t="str">
        <f>TEXT(Sales_Data[[#This Row],[Order_Date]],"mmm")</f>
        <v>Feb</v>
      </c>
      <c r="F139" t="s">
        <v>11</v>
      </c>
      <c r="G139" t="s">
        <v>15</v>
      </c>
      <c r="H139" t="s">
        <v>26</v>
      </c>
      <c r="I139">
        <v>10</v>
      </c>
      <c r="J139">
        <v>1575</v>
      </c>
      <c r="K139">
        <v>0.05</v>
      </c>
      <c r="L139">
        <v>14962.5</v>
      </c>
      <c r="M139">
        <v>1078</v>
      </c>
    </row>
    <row r="140" spans="1:13" x14ac:dyDescent="0.25">
      <c r="A140">
        <v>139</v>
      </c>
      <c r="B140" s="4">
        <v>45351</v>
      </c>
      <c r="C140" s="4" t="str">
        <f>TEXT(Sales_Data[[#This Row],[Order_Date]],"mmm-yyyy")</f>
        <v>Feb-2024</v>
      </c>
      <c r="D140" s="4" t="str">
        <f>TEXT(Sales_Data[[#This Row],[Order_Date]],"yyy")</f>
        <v>2024</v>
      </c>
      <c r="E140" s="4" t="str">
        <f>TEXT(Sales_Data[[#This Row],[Order_Date]],"mmm")</f>
        <v>Feb</v>
      </c>
      <c r="F140" t="s">
        <v>12</v>
      </c>
      <c r="G140" t="s">
        <v>16</v>
      </c>
      <c r="H140" t="s">
        <v>20</v>
      </c>
      <c r="I140">
        <v>4</v>
      </c>
      <c r="J140">
        <v>4176</v>
      </c>
      <c r="K140">
        <v>0.05</v>
      </c>
      <c r="L140">
        <v>15868.8</v>
      </c>
      <c r="M140">
        <v>1081</v>
      </c>
    </row>
    <row r="141" spans="1:13" x14ac:dyDescent="0.25">
      <c r="A141">
        <v>140</v>
      </c>
      <c r="B141" s="4">
        <v>45365</v>
      </c>
      <c r="C141" s="4" t="str">
        <f>TEXT(Sales_Data[[#This Row],[Order_Date]],"mmm-yyyy")</f>
        <v>Mar-2024</v>
      </c>
      <c r="D141" s="4" t="str">
        <f>TEXT(Sales_Data[[#This Row],[Order_Date]],"yyy")</f>
        <v>2024</v>
      </c>
      <c r="E141" s="4" t="str">
        <f>TEXT(Sales_Data[[#This Row],[Order_Date]],"mmm")</f>
        <v>Mar</v>
      </c>
      <c r="F141" t="s">
        <v>10</v>
      </c>
      <c r="G141" t="s">
        <v>16</v>
      </c>
      <c r="H141" t="s">
        <v>21</v>
      </c>
      <c r="I141">
        <v>5</v>
      </c>
      <c r="J141">
        <v>176</v>
      </c>
      <c r="K141">
        <v>0.15</v>
      </c>
      <c r="L141">
        <v>748</v>
      </c>
      <c r="M141">
        <v>1009</v>
      </c>
    </row>
    <row r="142" spans="1:13" x14ac:dyDescent="0.25">
      <c r="A142">
        <v>141</v>
      </c>
      <c r="B142" s="4">
        <v>45468</v>
      </c>
      <c r="C142" s="4" t="str">
        <f>TEXT(Sales_Data[[#This Row],[Order_Date]],"mmm-yyyy")</f>
        <v>Jun-2024</v>
      </c>
      <c r="D142" s="4" t="str">
        <f>TEXT(Sales_Data[[#This Row],[Order_Date]],"yyy")</f>
        <v>2024</v>
      </c>
      <c r="E142" s="4" t="str">
        <f>TEXT(Sales_Data[[#This Row],[Order_Date]],"mmm")</f>
        <v>Jun</v>
      </c>
      <c r="F142" t="s">
        <v>13</v>
      </c>
      <c r="G142" t="s">
        <v>16</v>
      </c>
      <c r="H142" t="s">
        <v>21</v>
      </c>
      <c r="I142">
        <v>10</v>
      </c>
      <c r="J142">
        <v>2550</v>
      </c>
      <c r="K142">
        <v>0.15</v>
      </c>
      <c r="L142">
        <v>21675</v>
      </c>
      <c r="M142">
        <v>1058</v>
      </c>
    </row>
    <row r="143" spans="1:13" x14ac:dyDescent="0.25">
      <c r="A143">
        <v>142</v>
      </c>
      <c r="B143" s="4">
        <v>45352</v>
      </c>
      <c r="C143" s="4" t="str">
        <f>TEXT(Sales_Data[[#This Row],[Order_Date]],"mmm-yyyy")</f>
        <v>Mar-2024</v>
      </c>
      <c r="D143" s="4" t="str">
        <f>TEXT(Sales_Data[[#This Row],[Order_Date]],"yyy")</f>
        <v>2024</v>
      </c>
      <c r="E143" s="4" t="str">
        <f>TEXT(Sales_Data[[#This Row],[Order_Date]],"mmm")</f>
        <v>Mar</v>
      </c>
      <c r="F143" t="s">
        <v>12</v>
      </c>
      <c r="G143" t="s">
        <v>16</v>
      </c>
      <c r="H143" t="s">
        <v>19</v>
      </c>
      <c r="I143">
        <v>7</v>
      </c>
      <c r="J143">
        <v>4058</v>
      </c>
      <c r="K143">
        <v>0</v>
      </c>
      <c r="L143">
        <v>28406</v>
      </c>
      <c r="M143">
        <v>1073</v>
      </c>
    </row>
    <row r="144" spans="1:13" x14ac:dyDescent="0.25">
      <c r="A144">
        <v>143</v>
      </c>
      <c r="B144" s="4">
        <v>45460</v>
      </c>
      <c r="C144" s="4" t="str">
        <f>TEXT(Sales_Data[[#This Row],[Order_Date]],"mmm-yyyy")</f>
        <v>Jun-2024</v>
      </c>
      <c r="D144" s="4" t="str">
        <f>TEXT(Sales_Data[[#This Row],[Order_Date]],"yyy")</f>
        <v>2024</v>
      </c>
      <c r="E144" s="4" t="str">
        <f>TEXT(Sales_Data[[#This Row],[Order_Date]],"mmm")</f>
        <v>Jun</v>
      </c>
      <c r="F144" t="s">
        <v>12</v>
      </c>
      <c r="G144" t="s">
        <v>16</v>
      </c>
      <c r="H144" t="s">
        <v>20</v>
      </c>
      <c r="I144">
        <v>5</v>
      </c>
      <c r="J144">
        <v>2518</v>
      </c>
      <c r="K144">
        <v>0</v>
      </c>
      <c r="L144">
        <v>12590</v>
      </c>
      <c r="M144">
        <v>1035</v>
      </c>
    </row>
    <row r="145" spans="1:13" x14ac:dyDescent="0.25">
      <c r="A145">
        <v>144</v>
      </c>
      <c r="B145" s="4">
        <v>45350</v>
      </c>
      <c r="C145" s="4" t="str">
        <f>TEXT(Sales_Data[[#This Row],[Order_Date]],"mmm-yyyy")</f>
        <v>Feb-2024</v>
      </c>
      <c r="D145" s="4" t="str">
        <f>TEXT(Sales_Data[[#This Row],[Order_Date]],"yyy")</f>
        <v>2024</v>
      </c>
      <c r="E145" s="4" t="str">
        <f>TEXT(Sales_Data[[#This Row],[Order_Date]],"mmm")</f>
        <v>Feb</v>
      </c>
      <c r="F145" t="s">
        <v>13</v>
      </c>
      <c r="G145" t="s">
        <v>15</v>
      </c>
      <c r="H145" t="s">
        <v>18</v>
      </c>
      <c r="I145">
        <v>10</v>
      </c>
      <c r="J145">
        <v>4169</v>
      </c>
      <c r="K145">
        <v>0.1</v>
      </c>
      <c r="L145">
        <v>37521</v>
      </c>
      <c r="M145">
        <v>1028</v>
      </c>
    </row>
    <row r="146" spans="1:13" x14ac:dyDescent="0.25">
      <c r="A146">
        <v>145</v>
      </c>
      <c r="B146" s="4">
        <v>45452</v>
      </c>
      <c r="C146" s="4" t="str">
        <f>TEXT(Sales_Data[[#This Row],[Order_Date]],"mmm-yyyy")</f>
        <v>Jun-2024</v>
      </c>
      <c r="D146" s="4" t="str">
        <f>TEXT(Sales_Data[[#This Row],[Order_Date]],"yyy")</f>
        <v>2024</v>
      </c>
      <c r="E146" s="4" t="str">
        <f>TEXT(Sales_Data[[#This Row],[Order_Date]],"mmm")</f>
        <v>Jun</v>
      </c>
      <c r="F146" t="s">
        <v>11</v>
      </c>
      <c r="G146" t="s">
        <v>14</v>
      </c>
      <c r="H146" t="s">
        <v>17</v>
      </c>
      <c r="I146">
        <v>10</v>
      </c>
      <c r="J146">
        <v>2153</v>
      </c>
      <c r="K146">
        <v>0.05</v>
      </c>
      <c r="L146">
        <v>20453.5</v>
      </c>
      <c r="M146">
        <v>1080</v>
      </c>
    </row>
    <row r="147" spans="1:13" x14ac:dyDescent="0.25">
      <c r="A147">
        <v>146</v>
      </c>
      <c r="B147" s="4">
        <v>45440</v>
      </c>
      <c r="C147" s="4" t="str">
        <f>TEXT(Sales_Data[[#This Row],[Order_Date]],"mmm-yyyy")</f>
        <v>May-2024</v>
      </c>
      <c r="D147" s="4" t="str">
        <f>TEXT(Sales_Data[[#This Row],[Order_Date]],"yyy")</f>
        <v>2024</v>
      </c>
      <c r="E147" s="4" t="str">
        <f>TEXT(Sales_Data[[#This Row],[Order_Date]],"mmm")</f>
        <v>May</v>
      </c>
      <c r="F147" t="s">
        <v>13</v>
      </c>
      <c r="G147" t="s">
        <v>14</v>
      </c>
      <c r="H147" t="s">
        <v>17</v>
      </c>
      <c r="I147">
        <v>5</v>
      </c>
      <c r="J147">
        <v>3711</v>
      </c>
      <c r="K147">
        <v>0</v>
      </c>
      <c r="L147">
        <v>18555</v>
      </c>
      <c r="M147">
        <v>1093</v>
      </c>
    </row>
    <row r="148" spans="1:13" x14ac:dyDescent="0.25">
      <c r="A148">
        <v>147</v>
      </c>
      <c r="B148" s="4">
        <v>45336</v>
      </c>
      <c r="C148" s="4" t="str">
        <f>TEXT(Sales_Data[[#This Row],[Order_Date]],"mmm-yyyy")</f>
        <v>Feb-2024</v>
      </c>
      <c r="D148" s="4" t="str">
        <f>TEXT(Sales_Data[[#This Row],[Order_Date]],"yyy")</f>
        <v>2024</v>
      </c>
      <c r="E148" s="4" t="str">
        <f>TEXT(Sales_Data[[#This Row],[Order_Date]],"mmm")</f>
        <v>Feb</v>
      </c>
      <c r="F148" t="s">
        <v>10</v>
      </c>
      <c r="G148" t="s">
        <v>15</v>
      </c>
      <c r="H148" t="s">
        <v>18</v>
      </c>
      <c r="I148">
        <v>5</v>
      </c>
      <c r="J148">
        <v>2776</v>
      </c>
      <c r="K148">
        <v>0.15</v>
      </c>
      <c r="L148">
        <v>11798</v>
      </c>
      <c r="M148">
        <v>1016</v>
      </c>
    </row>
    <row r="149" spans="1:13" x14ac:dyDescent="0.25">
      <c r="A149">
        <v>148</v>
      </c>
      <c r="B149" s="4">
        <v>45334</v>
      </c>
      <c r="C149" s="4" t="str">
        <f>TEXT(Sales_Data[[#This Row],[Order_Date]],"mmm-yyyy")</f>
        <v>Feb-2024</v>
      </c>
      <c r="D149" s="4" t="str">
        <f>TEXT(Sales_Data[[#This Row],[Order_Date]],"yyy")</f>
        <v>2024</v>
      </c>
      <c r="E149" s="4" t="str">
        <f>TEXT(Sales_Data[[#This Row],[Order_Date]],"mmm")</f>
        <v>Feb</v>
      </c>
      <c r="F149" t="s">
        <v>13</v>
      </c>
      <c r="G149" t="s">
        <v>14</v>
      </c>
      <c r="H149" t="s">
        <v>22</v>
      </c>
      <c r="I149">
        <v>9</v>
      </c>
      <c r="J149">
        <v>4210</v>
      </c>
      <c r="K149">
        <v>0.1</v>
      </c>
      <c r="L149">
        <v>34101</v>
      </c>
      <c r="M149">
        <v>1061</v>
      </c>
    </row>
    <row r="150" spans="1:13" x14ac:dyDescent="0.25">
      <c r="A150">
        <v>149</v>
      </c>
      <c r="B150" s="4">
        <v>45311</v>
      </c>
      <c r="C150" s="4" t="str">
        <f>TEXT(Sales_Data[[#This Row],[Order_Date]],"mmm-yyyy")</f>
        <v>Jan-2024</v>
      </c>
      <c r="D150" s="4" t="str">
        <f>TEXT(Sales_Data[[#This Row],[Order_Date]],"yyy")</f>
        <v>2024</v>
      </c>
      <c r="E150" s="4" t="str">
        <f>TEXT(Sales_Data[[#This Row],[Order_Date]],"mmm")</f>
        <v>Jan</v>
      </c>
      <c r="F150" t="s">
        <v>10</v>
      </c>
      <c r="G150" t="s">
        <v>16</v>
      </c>
      <c r="H150" t="s">
        <v>20</v>
      </c>
      <c r="I150">
        <v>6</v>
      </c>
      <c r="J150">
        <v>1043</v>
      </c>
      <c r="K150">
        <v>0.15</v>
      </c>
      <c r="L150">
        <v>5319.3</v>
      </c>
      <c r="M150">
        <v>1096</v>
      </c>
    </row>
    <row r="151" spans="1:13" x14ac:dyDescent="0.25">
      <c r="A151">
        <v>150</v>
      </c>
      <c r="B151" s="4">
        <v>45393</v>
      </c>
      <c r="C151" s="4" t="str">
        <f>TEXT(Sales_Data[[#This Row],[Order_Date]],"mmm-yyyy")</f>
        <v>Apr-2024</v>
      </c>
      <c r="D151" s="4" t="str">
        <f>TEXT(Sales_Data[[#This Row],[Order_Date]],"yyy")</f>
        <v>2024</v>
      </c>
      <c r="E151" s="4" t="str">
        <f>TEXT(Sales_Data[[#This Row],[Order_Date]],"mmm")</f>
        <v>Apr</v>
      </c>
      <c r="F151" t="s">
        <v>11</v>
      </c>
      <c r="G151" t="s">
        <v>15</v>
      </c>
      <c r="H151" t="s">
        <v>26</v>
      </c>
      <c r="I151">
        <v>9</v>
      </c>
      <c r="J151">
        <v>3096</v>
      </c>
      <c r="K151">
        <v>0</v>
      </c>
      <c r="L151">
        <v>27864</v>
      </c>
      <c r="M151">
        <v>1033</v>
      </c>
    </row>
    <row r="152" spans="1:13" x14ac:dyDescent="0.25">
      <c r="A152">
        <v>151</v>
      </c>
      <c r="B152" s="4">
        <v>45441</v>
      </c>
      <c r="C152" s="4" t="str">
        <f>TEXT(Sales_Data[[#This Row],[Order_Date]],"mmm-yyyy")</f>
        <v>May-2024</v>
      </c>
      <c r="D152" s="4" t="str">
        <f>TEXT(Sales_Data[[#This Row],[Order_Date]],"yyy")</f>
        <v>2024</v>
      </c>
      <c r="E152" s="4" t="str">
        <f>TEXT(Sales_Data[[#This Row],[Order_Date]],"mmm")</f>
        <v>May</v>
      </c>
      <c r="F152" t="s">
        <v>12</v>
      </c>
      <c r="G152" t="s">
        <v>14</v>
      </c>
      <c r="H152" t="s">
        <v>17</v>
      </c>
      <c r="I152">
        <v>8</v>
      </c>
      <c r="J152">
        <v>3119</v>
      </c>
      <c r="K152">
        <v>0.1</v>
      </c>
      <c r="L152">
        <v>22456.799999999999</v>
      </c>
      <c r="M152">
        <v>1081</v>
      </c>
    </row>
    <row r="153" spans="1:13" x14ac:dyDescent="0.25">
      <c r="A153">
        <v>152</v>
      </c>
      <c r="B153" s="4">
        <v>45450</v>
      </c>
      <c r="C153" s="4" t="str">
        <f>TEXT(Sales_Data[[#This Row],[Order_Date]],"mmm-yyyy")</f>
        <v>Jun-2024</v>
      </c>
      <c r="D153" s="4" t="str">
        <f>TEXT(Sales_Data[[#This Row],[Order_Date]],"yyy")</f>
        <v>2024</v>
      </c>
      <c r="E153" s="4" t="str">
        <f>TEXT(Sales_Data[[#This Row],[Order_Date]],"mmm")</f>
        <v>Jun</v>
      </c>
      <c r="F153" t="s">
        <v>13</v>
      </c>
      <c r="G153" t="s">
        <v>16</v>
      </c>
      <c r="H153" t="s">
        <v>19</v>
      </c>
      <c r="I153">
        <v>4</v>
      </c>
      <c r="J153">
        <v>3962</v>
      </c>
      <c r="K153">
        <v>0</v>
      </c>
      <c r="L153">
        <v>15848</v>
      </c>
      <c r="M153">
        <v>1078</v>
      </c>
    </row>
    <row r="154" spans="1:13" x14ac:dyDescent="0.25">
      <c r="A154">
        <v>153</v>
      </c>
      <c r="B154" s="4">
        <v>45321</v>
      </c>
      <c r="C154" s="4" t="str">
        <f>TEXT(Sales_Data[[#This Row],[Order_Date]],"mmm-yyyy")</f>
        <v>Jan-2024</v>
      </c>
      <c r="D154" s="4" t="str">
        <f>TEXT(Sales_Data[[#This Row],[Order_Date]],"yyy")</f>
        <v>2024</v>
      </c>
      <c r="E154" s="4" t="str">
        <f>TEXT(Sales_Data[[#This Row],[Order_Date]],"mmm")</f>
        <v>Jan</v>
      </c>
      <c r="F154" t="s">
        <v>10</v>
      </c>
      <c r="G154" t="s">
        <v>15</v>
      </c>
      <c r="H154" t="s">
        <v>18</v>
      </c>
      <c r="I154">
        <v>8</v>
      </c>
      <c r="J154">
        <v>2575</v>
      </c>
      <c r="K154">
        <v>0.15</v>
      </c>
      <c r="L154">
        <v>17510</v>
      </c>
      <c r="M154">
        <v>1005</v>
      </c>
    </row>
    <row r="155" spans="1:13" x14ac:dyDescent="0.25">
      <c r="A155">
        <v>154</v>
      </c>
      <c r="B155" s="4">
        <v>45352</v>
      </c>
      <c r="C155" s="4" t="str">
        <f>TEXT(Sales_Data[[#This Row],[Order_Date]],"mmm-yyyy")</f>
        <v>Mar-2024</v>
      </c>
      <c r="D155" s="4" t="str">
        <f>TEXT(Sales_Data[[#This Row],[Order_Date]],"yyy")</f>
        <v>2024</v>
      </c>
      <c r="E155" s="4" t="str">
        <f>TEXT(Sales_Data[[#This Row],[Order_Date]],"mmm")</f>
        <v>Mar</v>
      </c>
      <c r="F155" t="s">
        <v>10</v>
      </c>
      <c r="G155" t="s">
        <v>15</v>
      </c>
      <c r="H155" t="s">
        <v>25</v>
      </c>
      <c r="I155">
        <v>8</v>
      </c>
      <c r="J155">
        <v>1051</v>
      </c>
      <c r="K155">
        <v>0</v>
      </c>
      <c r="L155">
        <v>8408</v>
      </c>
      <c r="M155">
        <v>1049</v>
      </c>
    </row>
    <row r="156" spans="1:13" x14ac:dyDescent="0.25">
      <c r="A156">
        <v>155</v>
      </c>
      <c r="B156" s="4">
        <v>45398</v>
      </c>
      <c r="C156" s="4" t="str">
        <f>TEXT(Sales_Data[[#This Row],[Order_Date]],"mmm-yyyy")</f>
        <v>Apr-2024</v>
      </c>
      <c r="D156" s="4" t="str">
        <f>TEXT(Sales_Data[[#This Row],[Order_Date]],"yyy")</f>
        <v>2024</v>
      </c>
      <c r="E156" s="4" t="str">
        <f>TEXT(Sales_Data[[#This Row],[Order_Date]],"mmm")</f>
        <v>Apr</v>
      </c>
      <c r="F156" t="s">
        <v>11</v>
      </c>
      <c r="G156" t="s">
        <v>16</v>
      </c>
      <c r="H156" t="s">
        <v>21</v>
      </c>
      <c r="I156">
        <v>9</v>
      </c>
      <c r="J156">
        <v>3533</v>
      </c>
      <c r="K156">
        <v>0.05</v>
      </c>
      <c r="L156">
        <v>30207.15</v>
      </c>
      <c r="M156">
        <v>1062</v>
      </c>
    </row>
    <row r="157" spans="1:13" x14ac:dyDescent="0.25">
      <c r="A157">
        <v>156</v>
      </c>
      <c r="B157" s="4">
        <v>45347</v>
      </c>
      <c r="C157" s="4" t="str">
        <f>TEXT(Sales_Data[[#This Row],[Order_Date]],"mmm-yyyy")</f>
        <v>Feb-2024</v>
      </c>
      <c r="D157" s="4" t="str">
        <f>TEXT(Sales_Data[[#This Row],[Order_Date]],"yyy")</f>
        <v>2024</v>
      </c>
      <c r="E157" s="4" t="str">
        <f>TEXT(Sales_Data[[#This Row],[Order_Date]],"mmm")</f>
        <v>Feb</v>
      </c>
      <c r="F157" t="s">
        <v>12</v>
      </c>
      <c r="G157" t="s">
        <v>14</v>
      </c>
      <c r="H157" t="s">
        <v>22</v>
      </c>
      <c r="I157">
        <v>5</v>
      </c>
      <c r="J157">
        <v>368</v>
      </c>
      <c r="K157">
        <v>0.1</v>
      </c>
      <c r="L157">
        <v>1656</v>
      </c>
      <c r="M157">
        <v>1056</v>
      </c>
    </row>
    <row r="158" spans="1:13" x14ac:dyDescent="0.25">
      <c r="A158">
        <v>157</v>
      </c>
      <c r="B158" s="4">
        <v>45307</v>
      </c>
      <c r="C158" s="4" t="str">
        <f>TEXT(Sales_Data[[#This Row],[Order_Date]],"mmm-yyyy")</f>
        <v>Jan-2024</v>
      </c>
      <c r="D158" s="4" t="str">
        <f>TEXT(Sales_Data[[#This Row],[Order_Date]],"yyy")</f>
        <v>2024</v>
      </c>
      <c r="E158" s="4" t="str">
        <f>TEXT(Sales_Data[[#This Row],[Order_Date]],"mmm")</f>
        <v>Jan</v>
      </c>
      <c r="F158" t="s">
        <v>12</v>
      </c>
      <c r="G158" t="s">
        <v>15</v>
      </c>
      <c r="H158" t="s">
        <v>25</v>
      </c>
      <c r="I158">
        <v>2</v>
      </c>
      <c r="J158">
        <v>3109</v>
      </c>
      <c r="K158">
        <v>0.1</v>
      </c>
      <c r="L158">
        <v>5596.2</v>
      </c>
      <c r="M158">
        <v>1035</v>
      </c>
    </row>
    <row r="159" spans="1:13" x14ac:dyDescent="0.25">
      <c r="A159">
        <v>158</v>
      </c>
      <c r="B159" s="4">
        <v>45456</v>
      </c>
      <c r="C159" s="4" t="str">
        <f>TEXT(Sales_Data[[#This Row],[Order_Date]],"mmm-yyyy")</f>
        <v>Jun-2024</v>
      </c>
      <c r="D159" s="4" t="str">
        <f>TEXT(Sales_Data[[#This Row],[Order_Date]],"yyy")</f>
        <v>2024</v>
      </c>
      <c r="E159" s="4" t="str">
        <f>TEXT(Sales_Data[[#This Row],[Order_Date]],"mmm")</f>
        <v>Jun</v>
      </c>
      <c r="F159" t="s">
        <v>11</v>
      </c>
      <c r="G159" t="s">
        <v>15</v>
      </c>
      <c r="H159" t="s">
        <v>18</v>
      </c>
      <c r="I159">
        <v>8</v>
      </c>
      <c r="J159">
        <v>850</v>
      </c>
      <c r="K159">
        <v>0.05</v>
      </c>
      <c r="L159">
        <v>6460</v>
      </c>
      <c r="M159">
        <v>1006</v>
      </c>
    </row>
    <row r="160" spans="1:13" x14ac:dyDescent="0.25">
      <c r="A160">
        <v>159</v>
      </c>
      <c r="B160" s="4">
        <v>45309</v>
      </c>
      <c r="C160" s="4" t="str">
        <f>TEXT(Sales_Data[[#This Row],[Order_Date]],"mmm-yyyy")</f>
        <v>Jan-2024</v>
      </c>
      <c r="D160" s="4" t="str">
        <f>TEXT(Sales_Data[[#This Row],[Order_Date]],"yyy")</f>
        <v>2024</v>
      </c>
      <c r="E160" s="4" t="str">
        <f>TEXT(Sales_Data[[#This Row],[Order_Date]],"mmm")</f>
        <v>Jan</v>
      </c>
      <c r="F160" t="s">
        <v>10</v>
      </c>
      <c r="G160" t="s">
        <v>16</v>
      </c>
      <c r="H160" t="s">
        <v>19</v>
      </c>
      <c r="I160">
        <v>3</v>
      </c>
      <c r="J160">
        <v>4725</v>
      </c>
      <c r="K160">
        <v>0.05</v>
      </c>
      <c r="L160">
        <v>13466.25</v>
      </c>
      <c r="M160">
        <v>1075</v>
      </c>
    </row>
    <row r="161" spans="1:13" x14ac:dyDescent="0.25">
      <c r="A161">
        <v>160</v>
      </c>
      <c r="B161" s="4">
        <v>45362</v>
      </c>
      <c r="C161" s="4" t="str">
        <f>TEXT(Sales_Data[[#This Row],[Order_Date]],"mmm-yyyy")</f>
        <v>Mar-2024</v>
      </c>
      <c r="D161" s="4" t="str">
        <f>TEXT(Sales_Data[[#This Row],[Order_Date]],"yyy")</f>
        <v>2024</v>
      </c>
      <c r="E161" s="4" t="str">
        <f>TEXT(Sales_Data[[#This Row],[Order_Date]],"mmm")</f>
        <v>Mar</v>
      </c>
      <c r="F161" t="s">
        <v>10</v>
      </c>
      <c r="G161" t="s">
        <v>15</v>
      </c>
      <c r="H161" t="s">
        <v>24</v>
      </c>
      <c r="I161">
        <v>6</v>
      </c>
      <c r="J161">
        <v>1308</v>
      </c>
      <c r="K161">
        <v>0</v>
      </c>
      <c r="L161">
        <v>7848</v>
      </c>
      <c r="M161">
        <v>1016</v>
      </c>
    </row>
    <row r="162" spans="1:13" x14ac:dyDescent="0.25">
      <c r="A162">
        <v>161</v>
      </c>
      <c r="B162" s="4">
        <v>45325</v>
      </c>
      <c r="C162" s="4" t="str">
        <f>TEXT(Sales_Data[[#This Row],[Order_Date]],"mmm-yyyy")</f>
        <v>Feb-2024</v>
      </c>
      <c r="D162" s="4" t="str">
        <f>TEXT(Sales_Data[[#This Row],[Order_Date]],"yyy")</f>
        <v>2024</v>
      </c>
      <c r="E162" s="4" t="str">
        <f>TEXT(Sales_Data[[#This Row],[Order_Date]],"mmm")</f>
        <v>Feb</v>
      </c>
      <c r="F162" t="s">
        <v>11</v>
      </c>
      <c r="G162" t="s">
        <v>14</v>
      </c>
      <c r="H162" t="s">
        <v>22</v>
      </c>
      <c r="I162">
        <v>3</v>
      </c>
      <c r="J162">
        <v>1000</v>
      </c>
      <c r="K162">
        <v>0</v>
      </c>
      <c r="L162">
        <v>3000</v>
      </c>
      <c r="M162">
        <v>1045</v>
      </c>
    </row>
    <row r="163" spans="1:13" x14ac:dyDescent="0.25">
      <c r="A163">
        <v>162</v>
      </c>
      <c r="B163" s="4">
        <v>45305</v>
      </c>
      <c r="C163" s="4" t="str">
        <f>TEXT(Sales_Data[[#This Row],[Order_Date]],"mmm-yyyy")</f>
        <v>Jan-2024</v>
      </c>
      <c r="D163" s="4" t="str">
        <f>TEXT(Sales_Data[[#This Row],[Order_Date]],"yyy")</f>
        <v>2024</v>
      </c>
      <c r="E163" s="4" t="str">
        <f>TEXT(Sales_Data[[#This Row],[Order_Date]],"mmm")</f>
        <v>Jan</v>
      </c>
      <c r="F163" t="s">
        <v>10</v>
      </c>
      <c r="G163" t="s">
        <v>15</v>
      </c>
      <c r="H163" t="s">
        <v>25</v>
      </c>
      <c r="I163">
        <v>1</v>
      </c>
      <c r="J163">
        <v>1527</v>
      </c>
      <c r="K163">
        <v>0.1</v>
      </c>
      <c r="L163">
        <v>1374.3</v>
      </c>
      <c r="M163">
        <v>1094</v>
      </c>
    </row>
    <row r="164" spans="1:13" x14ac:dyDescent="0.25">
      <c r="A164">
        <v>163</v>
      </c>
      <c r="B164" s="4">
        <v>45406</v>
      </c>
      <c r="C164" s="4" t="str">
        <f>TEXT(Sales_Data[[#This Row],[Order_Date]],"mmm-yyyy")</f>
        <v>Apr-2024</v>
      </c>
      <c r="D164" s="4" t="str">
        <f>TEXT(Sales_Data[[#This Row],[Order_Date]],"yyy")</f>
        <v>2024</v>
      </c>
      <c r="E164" s="4" t="str">
        <f>TEXT(Sales_Data[[#This Row],[Order_Date]],"mmm")</f>
        <v>Apr</v>
      </c>
      <c r="F164" t="s">
        <v>13</v>
      </c>
      <c r="G164" t="s">
        <v>16</v>
      </c>
      <c r="H164" t="s">
        <v>20</v>
      </c>
      <c r="I164">
        <v>2</v>
      </c>
      <c r="J164">
        <v>620</v>
      </c>
      <c r="K164">
        <v>0.15</v>
      </c>
      <c r="L164">
        <v>1054</v>
      </c>
      <c r="M164">
        <v>1065</v>
      </c>
    </row>
    <row r="165" spans="1:13" x14ac:dyDescent="0.25">
      <c r="A165">
        <v>164</v>
      </c>
      <c r="B165" s="4">
        <v>45449</v>
      </c>
      <c r="C165" s="4" t="str">
        <f>TEXT(Sales_Data[[#This Row],[Order_Date]],"mmm-yyyy")</f>
        <v>Jun-2024</v>
      </c>
      <c r="D165" s="4" t="str">
        <f>TEXT(Sales_Data[[#This Row],[Order_Date]],"yyy")</f>
        <v>2024</v>
      </c>
      <c r="E165" s="4" t="str">
        <f>TEXT(Sales_Data[[#This Row],[Order_Date]],"mmm")</f>
        <v>Jun</v>
      </c>
      <c r="F165" t="s">
        <v>11</v>
      </c>
      <c r="G165" t="s">
        <v>14</v>
      </c>
      <c r="H165" t="s">
        <v>17</v>
      </c>
      <c r="I165">
        <v>8</v>
      </c>
      <c r="J165">
        <v>4227</v>
      </c>
      <c r="K165">
        <v>0.05</v>
      </c>
      <c r="L165">
        <v>32125.200000000001</v>
      </c>
      <c r="M165">
        <v>1093</v>
      </c>
    </row>
    <row r="166" spans="1:13" x14ac:dyDescent="0.25">
      <c r="A166">
        <v>165</v>
      </c>
      <c r="B166" s="4">
        <v>45307</v>
      </c>
      <c r="C166" s="4" t="str">
        <f>TEXT(Sales_Data[[#This Row],[Order_Date]],"mmm-yyyy")</f>
        <v>Jan-2024</v>
      </c>
      <c r="D166" s="4" t="str">
        <f>TEXT(Sales_Data[[#This Row],[Order_Date]],"yyy")</f>
        <v>2024</v>
      </c>
      <c r="E166" s="4" t="str">
        <f>TEXT(Sales_Data[[#This Row],[Order_Date]],"mmm")</f>
        <v>Jan</v>
      </c>
      <c r="F166" t="s">
        <v>12</v>
      </c>
      <c r="G166" t="s">
        <v>14</v>
      </c>
      <c r="H166" t="s">
        <v>23</v>
      </c>
      <c r="I166">
        <v>5</v>
      </c>
      <c r="J166">
        <v>3852</v>
      </c>
      <c r="K166">
        <v>0</v>
      </c>
      <c r="L166">
        <v>19260</v>
      </c>
      <c r="M166">
        <v>1051</v>
      </c>
    </row>
    <row r="167" spans="1:13" x14ac:dyDescent="0.25">
      <c r="A167">
        <v>166</v>
      </c>
      <c r="B167" s="4">
        <v>45310</v>
      </c>
      <c r="C167" s="4" t="str">
        <f>TEXT(Sales_Data[[#This Row],[Order_Date]],"mmm-yyyy")</f>
        <v>Jan-2024</v>
      </c>
      <c r="D167" s="4" t="str">
        <f>TEXT(Sales_Data[[#This Row],[Order_Date]],"yyy")</f>
        <v>2024</v>
      </c>
      <c r="E167" s="4" t="str">
        <f>TEXT(Sales_Data[[#This Row],[Order_Date]],"mmm")</f>
        <v>Jan</v>
      </c>
      <c r="F167" t="s">
        <v>11</v>
      </c>
      <c r="G167" t="s">
        <v>16</v>
      </c>
      <c r="H167" t="s">
        <v>20</v>
      </c>
      <c r="I167">
        <v>2</v>
      </c>
      <c r="J167">
        <v>4116</v>
      </c>
      <c r="K167">
        <v>0.15</v>
      </c>
      <c r="L167">
        <v>6997.2</v>
      </c>
      <c r="M167">
        <v>1041</v>
      </c>
    </row>
    <row r="168" spans="1:13" x14ac:dyDescent="0.25">
      <c r="A168">
        <v>167</v>
      </c>
      <c r="B168" s="4">
        <v>45451</v>
      </c>
      <c r="C168" s="4" t="str">
        <f>TEXT(Sales_Data[[#This Row],[Order_Date]],"mmm-yyyy")</f>
        <v>Jun-2024</v>
      </c>
      <c r="D168" s="4" t="str">
        <f>TEXT(Sales_Data[[#This Row],[Order_Date]],"yyy")</f>
        <v>2024</v>
      </c>
      <c r="E168" s="4" t="str">
        <f>TEXT(Sales_Data[[#This Row],[Order_Date]],"mmm")</f>
        <v>Jun</v>
      </c>
      <c r="F168" t="s">
        <v>13</v>
      </c>
      <c r="G168" t="s">
        <v>14</v>
      </c>
      <c r="H168" t="s">
        <v>17</v>
      </c>
      <c r="I168">
        <v>2</v>
      </c>
      <c r="J168">
        <v>1133</v>
      </c>
      <c r="K168">
        <v>0.1</v>
      </c>
      <c r="L168">
        <v>2039.4</v>
      </c>
      <c r="M168">
        <v>1048</v>
      </c>
    </row>
    <row r="169" spans="1:13" x14ac:dyDescent="0.25">
      <c r="A169">
        <v>168</v>
      </c>
      <c r="B169" s="4">
        <v>45317</v>
      </c>
      <c r="C169" s="4" t="str">
        <f>TEXT(Sales_Data[[#This Row],[Order_Date]],"mmm-yyyy")</f>
        <v>Jan-2024</v>
      </c>
      <c r="D169" s="4" t="str">
        <f>TEXT(Sales_Data[[#This Row],[Order_Date]],"yyy")</f>
        <v>2024</v>
      </c>
      <c r="E169" s="4" t="str">
        <f>TEXT(Sales_Data[[#This Row],[Order_Date]],"mmm")</f>
        <v>Jan</v>
      </c>
      <c r="F169" t="s">
        <v>11</v>
      </c>
      <c r="G169" t="s">
        <v>14</v>
      </c>
      <c r="H169" t="s">
        <v>23</v>
      </c>
      <c r="I169">
        <v>5</v>
      </c>
      <c r="J169">
        <v>3816</v>
      </c>
      <c r="K169">
        <v>0.15</v>
      </c>
      <c r="L169">
        <v>16218</v>
      </c>
      <c r="M169">
        <v>1083</v>
      </c>
    </row>
    <row r="170" spans="1:13" x14ac:dyDescent="0.25">
      <c r="A170">
        <v>169</v>
      </c>
      <c r="B170" s="4">
        <v>45350</v>
      </c>
      <c r="C170" s="4" t="str">
        <f>TEXT(Sales_Data[[#This Row],[Order_Date]],"mmm-yyyy")</f>
        <v>Feb-2024</v>
      </c>
      <c r="D170" s="4" t="str">
        <f>TEXT(Sales_Data[[#This Row],[Order_Date]],"yyy")</f>
        <v>2024</v>
      </c>
      <c r="E170" s="4" t="str">
        <f>TEXT(Sales_Data[[#This Row],[Order_Date]],"mmm")</f>
        <v>Feb</v>
      </c>
      <c r="F170" t="s">
        <v>12</v>
      </c>
      <c r="G170" t="s">
        <v>14</v>
      </c>
      <c r="H170" t="s">
        <v>23</v>
      </c>
      <c r="I170">
        <v>4</v>
      </c>
      <c r="J170">
        <v>3623</v>
      </c>
      <c r="K170">
        <v>0.15</v>
      </c>
      <c r="L170">
        <v>12318.2</v>
      </c>
      <c r="M170">
        <v>1043</v>
      </c>
    </row>
    <row r="171" spans="1:13" x14ac:dyDescent="0.25">
      <c r="A171">
        <v>170</v>
      </c>
      <c r="B171" s="4">
        <v>45401</v>
      </c>
      <c r="C171" s="4" t="str">
        <f>TEXT(Sales_Data[[#This Row],[Order_Date]],"mmm-yyyy")</f>
        <v>Apr-2024</v>
      </c>
      <c r="D171" s="4" t="str">
        <f>TEXT(Sales_Data[[#This Row],[Order_Date]],"yyy")</f>
        <v>2024</v>
      </c>
      <c r="E171" s="4" t="str">
        <f>TEXT(Sales_Data[[#This Row],[Order_Date]],"mmm")</f>
        <v>Apr</v>
      </c>
      <c r="F171" t="s">
        <v>13</v>
      </c>
      <c r="G171" t="s">
        <v>16</v>
      </c>
      <c r="H171" t="s">
        <v>21</v>
      </c>
      <c r="I171">
        <v>7</v>
      </c>
      <c r="J171">
        <v>878</v>
      </c>
      <c r="K171">
        <v>0.1</v>
      </c>
      <c r="L171">
        <v>5531.4</v>
      </c>
      <c r="M171">
        <v>1085</v>
      </c>
    </row>
    <row r="172" spans="1:13" x14ac:dyDescent="0.25">
      <c r="A172">
        <v>171</v>
      </c>
      <c r="B172" s="4">
        <v>45315</v>
      </c>
      <c r="C172" s="4" t="str">
        <f>TEXT(Sales_Data[[#This Row],[Order_Date]],"mmm-yyyy")</f>
        <v>Jan-2024</v>
      </c>
      <c r="D172" s="4" t="str">
        <f>TEXT(Sales_Data[[#This Row],[Order_Date]],"yyy")</f>
        <v>2024</v>
      </c>
      <c r="E172" s="4" t="str">
        <f>TEXT(Sales_Data[[#This Row],[Order_Date]],"mmm")</f>
        <v>Jan</v>
      </c>
      <c r="F172" t="s">
        <v>11</v>
      </c>
      <c r="G172" t="s">
        <v>16</v>
      </c>
      <c r="H172" t="s">
        <v>21</v>
      </c>
      <c r="I172">
        <v>3</v>
      </c>
      <c r="J172">
        <v>3985</v>
      </c>
      <c r="K172">
        <v>0</v>
      </c>
      <c r="L172">
        <v>11955</v>
      </c>
      <c r="M172">
        <v>1011</v>
      </c>
    </row>
    <row r="173" spans="1:13" x14ac:dyDescent="0.25">
      <c r="A173">
        <v>172</v>
      </c>
      <c r="B173" s="4">
        <v>45442</v>
      </c>
      <c r="C173" s="4" t="str">
        <f>TEXT(Sales_Data[[#This Row],[Order_Date]],"mmm-yyyy")</f>
        <v>May-2024</v>
      </c>
      <c r="D173" s="4" t="str">
        <f>TEXT(Sales_Data[[#This Row],[Order_Date]],"yyy")</f>
        <v>2024</v>
      </c>
      <c r="E173" s="4" t="str">
        <f>TEXT(Sales_Data[[#This Row],[Order_Date]],"mmm")</f>
        <v>May</v>
      </c>
      <c r="F173" t="s">
        <v>13</v>
      </c>
      <c r="G173" t="s">
        <v>16</v>
      </c>
      <c r="H173" t="s">
        <v>19</v>
      </c>
      <c r="I173">
        <v>6</v>
      </c>
      <c r="J173">
        <v>1165</v>
      </c>
      <c r="K173">
        <v>0</v>
      </c>
      <c r="L173">
        <v>6990</v>
      </c>
      <c r="M173">
        <v>1085</v>
      </c>
    </row>
    <row r="174" spans="1:13" x14ac:dyDescent="0.25">
      <c r="A174">
        <v>173</v>
      </c>
      <c r="B174" s="4">
        <v>45365</v>
      </c>
      <c r="C174" s="4" t="str">
        <f>TEXT(Sales_Data[[#This Row],[Order_Date]],"mmm-yyyy")</f>
        <v>Mar-2024</v>
      </c>
      <c r="D174" s="4" t="str">
        <f>TEXT(Sales_Data[[#This Row],[Order_Date]],"yyy")</f>
        <v>2024</v>
      </c>
      <c r="E174" s="4" t="str">
        <f>TEXT(Sales_Data[[#This Row],[Order_Date]],"mmm")</f>
        <v>Mar</v>
      </c>
      <c r="F174" t="s">
        <v>13</v>
      </c>
      <c r="G174" t="s">
        <v>15</v>
      </c>
      <c r="H174" t="s">
        <v>26</v>
      </c>
      <c r="I174">
        <v>6</v>
      </c>
      <c r="J174">
        <v>3564</v>
      </c>
      <c r="K174">
        <v>0</v>
      </c>
      <c r="L174">
        <v>21384</v>
      </c>
      <c r="M174">
        <v>1045</v>
      </c>
    </row>
    <row r="175" spans="1:13" x14ac:dyDescent="0.25">
      <c r="A175">
        <v>174</v>
      </c>
      <c r="B175" s="4">
        <v>45319</v>
      </c>
      <c r="C175" s="4" t="str">
        <f>TEXT(Sales_Data[[#This Row],[Order_Date]],"mmm-yyyy")</f>
        <v>Jan-2024</v>
      </c>
      <c r="D175" s="4" t="str">
        <f>TEXT(Sales_Data[[#This Row],[Order_Date]],"yyy")</f>
        <v>2024</v>
      </c>
      <c r="E175" s="4" t="str">
        <f>TEXT(Sales_Data[[#This Row],[Order_Date]],"mmm")</f>
        <v>Jan</v>
      </c>
      <c r="F175" t="s">
        <v>13</v>
      </c>
      <c r="G175" t="s">
        <v>15</v>
      </c>
      <c r="H175" t="s">
        <v>24</v>
      </c>
      <c r="I175">
        <v>3</v>
      </c>
      <c r="J175">
        <v>4050</v>
      </c>
      <c r="K175">
        <v>0.05</v>
      </c>
      <c r="L175">
        <v>11542.5</v>
      </c>
      <c r="M175">
        <v>1071</v>
      </c>
    </row>
    <row r="176" spans="1:13" x14ac:dyDescent="0.25">
      <c r="A176">
        <v>175</v>
      </c>
      <c r="B176" s="4">
        <v>45401</v>
      </c>
      <c r="C176" s="4" t="str">
        <f>TEXT(Sales_Data[[#This Row],[Order_Date]],"mmm-yyyy")</f>
        <v>Apr-2024</v>
      </c>
      <c r="D176" s="4" t="str">
        <f>TEXT(Sales_Data[[#This Row],[Order_Date]],"yyy")</f>
        <v>2024</v>
      </c>
      <c r="E176" s="4" t="str">
        <f>TEXT(Sales_Data[[#This Row],[Order_Date]],"mmm")</f>
        <v>Apr</v>
      </c>
      <c r="F176" t="s">
        <v>11</v>
      </c>
      <c r="G176" t="s">
        <v>16</v>
      </c>
      <c r="H176" t="s">
        <v>19</v>
      </c>
      <c r="I176">
        <v>5</v>
      </c>
      <c r="J176">
        <v>4803</v>
      </c>
      <c r="K176">
        <v>0.05</v>
      </c>
      <c r="L176">
        <v>22814.25</v>
      </c>
      <c r="M176">
        <v>1077</v>
      </c>
    </row>
    <row r="177" spans="1:13" x14ac:dyDescent="0.25">
      <c r="A177">
        <v>176</v>
      </c>
      <c r="B177" s="4">
        <v>45361</v>
      </c>
      <c r="C177" s="4" t="str">
        <f>TEXT(Sales_Data[[#This Row],[Order_Date]],"mmm-yyyy")</f>
        <v>Mar-2024</v>
      </c>
      <c r="D177" s="4" t="str">
        <f>TEXT(Sales_Data[[#This Row],[Order_Date]],"yyy")</f>
        <v>2024</v>
      </c>
      <c r="E177" s="4" t="str">
        <f>TEXT(Sales_Data[[#This Row],[Order_Date]],"mmm")</f>
        <v>Mar</v>
      </c>
      <c r="F177" t="s">
        <v>13</v>
      </c>
      <c r="G177" t="s">
        <v>14</v>
      </c>
      <c r="H177" t="s">
        <v>23</v>
      </c>
      <c r="I177">
        <v>5</v>
      </c>
      <c r="J177">
        <v>337</v>
      </c>
      <c r="K177">
        <v>0.05</v>
      </c>
      <c r="L177">
        <v>1600.75</v>
      </c>
      <c r="M177">
        <v>1043</v>
      </c>
    </row>
    <row r="178" spans="1:13" x14ac:dyDescent="0.25">
      <c r="A178">
        <v>177</v>
      </c>
      <c r="B178" s="4">
        <v>45309</v>
      </c>
      <c r="C178" s="4" t="str">
        <f>TEXT(Sales_Data[[#This Row],[Order_Date]],"mmm-yyyy")</f>
        <v>Jan-2024</v>
      </c>
      <c r="D178" s="4" t="str">
        <f>TEXT(Sales_Data[[#This Row],[Order_Date]],"yyy")</f>
        <v>2024</v>
      </c>
      <c r="E178" s="4" t="str">
        <f>TEXT(Sales_Data[[#This Row],[Order_Date]],"mmm")</f>
        <v>Jan</v>
      </c>
      <c r="F178" t="s">
        <v>10</v>
      </c>
      <c r="G178" t="s">
        <v>16</v>
      </c>
      <c r="H178" t="s">
        <v>19</v>
      </c>
      <c r="I178">
        <v>3</v>
      </c>
      <c r="J178">
        <v>1273</v>
      </c>
      <c r="K178">
        <v>0.15</v>
      </c>
      <c r="L178">
        <v>3246.15</v>
      </c>
      <c r="M178">
        <v>1094</v>
      </c>
    </row>
    <row r="179" spans="1:13" x14ac:dyDescent="0.25">
      <c r="A179">
        <v>178</v>
      </c>
      <c r="B179" s="4">
        <v>45388</v>
      </c>
      <c r="C179" s="4" t="str">
        <f>TEXT(Sales_Data[[#This Row],[Order_Date]],"mmm-yyyy")</f>
        <v>Apr-2024</v>
      </c>
      <c r="D179" s="4" t="str">
        <f>TEXT(Sales_Data[[#This Row],[Order_Date]],"yyy")</f>
        <v>2024</v>
      </c>
      <c r="E179" s="4" t="str">
        <f>TEXT(Sales_Data[[#This Row],[Order_Date]],"mmm")</f>
        <v>Apr</v>
      </c>
      <c r="F179" t="s">
        <v>12</v>
      </c>
      <c r="G179" t="s">
        <v>14</v>
      </c>
      <c r="H179" t="s">
        <v>17</v>
      </c>
      <c r="I179">
        <v>2</v>
      </c>
      <c r="J179">
        <v>4445</v>
      </c>
      <c r="K179">
        <v>0.05</v>
      </c>
      <c r="L179">
        <v>8445.5</v>
      </c>
      <c r="M179">
        <v>1058</v>
      </c>
    </row>
    <row r="180" spans="1:13" x14ac:dyDescent="0.25">
      <c r="A180">
        <v>179</v>
      </c>
      <c r="B180" s="4">
        <v>45437</v>
      </c>
      <c r="C180" s="4" t="str">
        <f>TEXT(Sales_Data[[#This Row],[Order_Date]],"mmm-yyyy")</f>
        <v>May-2024</v>
      </c>
      <c r="D180" s="4" t="str">
        <f>TEXT(Sales_Data[[#This Row],[Order_Date]],"yyy")</f>
        <v>2024</v>
      </c>
      <c r="E180" s="4" t="str">
        <f>TEXT(Sales_Data[[#This Row],[Order_Date]],"mmm")</f>
        <v>May</v>
      </c>
      <c r="F180" t="s">
        <v>11</v>
      </c>
      <c r="G180" t="s">
        <v>16</v>
      </c>
      <c r="H180" t="s">
        <v>19</v>
      </c>
      <c r="I180">
        <v>6</v>
      </c>
      <c r="J180">
        <v>2652</v>
      </c>
      <c r="K180">
        <v>0.1</v>
      </c>
      <c r="L180">
        <v>14320.8</v>
      </c>
      <c r="M180">
        <v>1006</v>
      </c>
    </row>
    <row r="181" spans="1:13" x14ac:dyDescent="0.25">
      <c r="A181">
        <v>180</v>
      </c>
      <c r="B181" s="4">
        <v>45361</v>
      </c>
      <c r="C181" s="4" t="str">
        <f>TEXT(Sales_Data[[#This Row],[Order_Date]],"mmm-yyyy")</f>
        <v>Mar-2024</v>
      </c>
      <c r="D181" s="4" t="str">
        <f>TEXT(Sales_Data[[#This Row],[Order_Date]],"yyy")</f>
        <v>2024</v>
      </c>
      <c r="E181" s="4" t="str">
        <f>TEXT(Sales_Data[[#This Row],[Order_Date]],"mmm")</f>
        <v>Mar</v>
      </c>
      <c r="F181" t="s">
        <v>12</v>
      </c>
      <c r="G181" t="s">
        <v>15</v>
      </c>
      <c r="H181" t="s">
        <v>24</v>
      </c>
      <c r="I181">
        <v>10</v>
      </c>
      <c r="J181">
        <v>507</v>
      </c>
      <c r="K181">
        <v>0</v>
      </c>
      <c r="L181">
        <v>5070</v>
      </c>
      <c r="M181">
        <v>1084</v>
      </c>
    </row>
    <row r="182" spans="1:13" x14ac:dyDescent="0.25">
      <c r="A182">
        <v>181</v>
      </c>
      <c r="B182" s="4">
        <v>45361</v>
      </c>
      <c r="C182" s="4" t="str">
        <f>TEXT(Sales_Data[[#This Row],[Order_Date]],"mmm-yyyy")</f>
        <v>Mar-2024</v>
      </c>
      <c r="D182" s="4" t="str">
        <f>TEXT(Sales_Data[[#This Row],[Order_Date]],"yyy")</f>
        <v>2024</v>
      </c>
      <c r="E182" s="4" t="str">
        <f>TEXT(Sales_Data[[#This Row],[Order_Date]],"mmm")</f>
        <v>Mar</v>
      </c>
      <c r="F182" t="s">
        <v>10</v>
      </c>
      <c r="G182" t="s">
        <v>16</v>
      </c>
      <c r="H182" t="s">
        <v>21</v>
      </c>
      <c r="I182">
        <v>10</v>
      </c>
      <c r="J182">
        <v>3721</v>
      </c>
      <c r="K182">
        <v>0.15</v>
      </c>
      <c r="L182">
        <v>31628.5</v>
      </c>
      <c r="M182">
        <v>1096</v>
      </c>
    </row>
    <row r="183" spans="1:13" x14ac:dyDescent="0.25">
      <c r="A183">
        <v>182</v>
      </c>
      <c r="B183" s="4">
        <v>45364</v>
      </c>
      <c r="C183" s="4" t="str">
        <f>TEXT(Sales_Data[[#This Row],[Order_Date]],"mmm-yyyy")</f>
        <v>Mar-2024</v>
      </c>
      <c r="D183" s="4" t="str">
        <f>TEXT(Sales_Data[[#This Row],[Order_Date]],"yyy")</f>
        <v>2024</v>
      </c>
      <c r="E183" s="4" t="str">
        <f>TEXT(Sales_Data[[#This Row],[Order_Date]],"mmm")</f>
        <v>Mar</v>
      </c>
      <c r="F183" t="s">
        <v>12</v>
      </c>
      <c r="G183" t="s">
        <v>14</v>
      </c>
      <c r="H183" t="s">
        <v>17</v>
      </c>
      <c r="I183">
        <v>6</v>
      </c>
      <c r="J183">
        <v>3621</v>
      </c>
      <c r="K183">
        <v>0</v>
      </c>
      <c r="L183">
        <v>21726</v>
      </c>
      <c r="M183">
        <v>1067</v>
      </c>
    </row>
    <row r="184" spans="1:13" x14ac:dyDescent="0.25">
      <c r="A184">
        <v>183</v>
      </c>
      <c r="B184" s="4">
        <v>45445</v>
      </c>
      <c r="C184" s="4" t="str">
        <f>TEXT(Sales_Data[[#This Row],[Order_Date]],"mmm-yyyy")</f>
        <v>Jun-2024</v>
      </c>
      <c r="D184" s="4" t="str">
        <f>TEXT(Sales_Data[[#This Row],[Order_Date]],"yyy")</f>
        <v>2024</v>
      </c>
      <c r="E184" s="4" t="str">
        <f>TEXT(Sales_Data[[#This Row],[Order_Date]],"mmm")</f>
        <v>Jun</v>
      </c>
      <c r="F184" t="s">
        <v>11</v>
      </c>
      <c r="G184" t="s">
        <v>14</v>
      </c>
      <c r="H184" t="s">
        <v>22</v>
      </c>
      <c r="I184">
        <v>1</v>
      </c>
      <c r="J184">
        <v>1906</v>
      </c>
      <c r="K184">
        <v>0.15</v>
      </c>
      <c r="L184">
        <v>1620.1</v>
      </c>
      <c r="M184">
        <v>1000</v>
      </c>
    </row>
    <row r="185" spans="1:13" x14ac:dyDescent="0.25">
      <c r="A185">
        <v>184</v>
      </c>
      <c r="B185" s="4">
        <v>45366</v>
      </c>
      <c r="C185" s="4" t="str">
        <f>TEXT(Sales_Data[[#This Row],[Order_Date]],"mmm-yyyy")</f>
        <v>Mar-2024</v>
      </c>
      <c r="D185" s="4" t="str">
        <f>TEXT(Sales_Data[[#This Row],[Order_Date]],"yyy")</f>
        <v>2024</v>
      </c>
      <c r="E185" s="4" t="str">
        <f>TEXT(Sales_Data[[#This Row],[Order_Date]],"mmm")</f>
        <v>Mar</v>
      </c>
      <c r="F185" t="s">
        <v>13</v>
      </c>
      <c r="G185" t="s">
        <v>15</v>
      </c>
      <c r="H185" t="s">
        <v>25</v>
      </c>
      <c r="I185">
        <v>4</v>
      </c>
      <c r="J185">
        <v>1224</v>
      </c>
      <c r="K185">
        <v>0.1</v>
      </c>
      <c r="L185">
        <v>4406.3999999999996</v>
      </c>
      <c r="M185">
        <v>1015</v>
      </c>
    </row>
    <row r="186" spans="1:13" x14ac:dyDescent="0.25">
      <c r="A186">
        <v>185</v>
      </c>
      <c r="B186" s="4">
        <v>45389</v>
      </c>
      <c r="C186" s="4" t="str">
        <f>TEXT(Sales_Data[[#This Row],[Order_Date]],"mmm-yyyy")</f>
        <v>Apr-2024</v>
      </c>
      <c r="D186" s="4" t="str">
        <f>TEXT(Sales_Data[[#This Row],[Order_Date]],"yyy")</f>
        <v>2024</v>
      </c>
      <c r="E186" s="4" t="str">
        <f>TEXT(Sales_Data[[#This Row],[Order_Date]],"mmm")</f>
        <v>Apr</v>
      </c>
      <c r="F186" t="s">
        <v>10</v>
      </c>
      <c r="G186" t="s">
        <v>15</v>
      </c>
      <c r="H186" t="s">
        <v>26</v>
      </c>
      <c r="I186">
        <v>7</v>
      </c>
      <c r="J186">
        <v>1539</v>
      </c>
      <c r="K186">
        <v>0.05</v>
      </c>
      <c r="L186">
        <v>10234.35</v>
      </c>
      <c r="M186">
        <v>1064</v>
      </c>
    </row>
    <row r="187" spans="1:13" x14ac:dyDescent="0.25">
      <c r="A187">
        <v>186</v>
      </c>
      <c r="B187" s="4">
        <v>45302</v>
      </c>
      <c r="C187" s="4" t="str">
        <f>TEXT(Sales_Data[[#This Row],[Order_Date]],"mmm-yyyy")</f>
        <v>Jan-2024</v>
      </c>
      <c r="D187" s="4" t="str">
        <f>TEXT(Sales_Data[[#This Row],[Order_Date]],"yyy")</f>
        <v>2024</v>
      </c>
      <c r="E187" s="4" t="str">
        <f>TEXT(Sales_Data[[#This Row],[Order_Date]],"mmm")</f>
        <v>Jan</v>
      </c>
      <c r="F187" t="s">
        <v>12</v>
      </c>
      <c r="G187" t="s">
        <v>14</v>
      </c>
      <c r="H187" t="s">
        <v>23</v>
      </c>
      <c r="I187">
        <v>6</v>
      </c>
      <c r="J187">
        <v>690</v>
      </c>
      <c r="K187">
        <v>0.15</v>
      </c>
      <c r="L187">
        <v>3519</v>
      </c>
      <c r="M187">
        <v>1002</v>
      </c>
    </row>
    <row r="188" spans="1:13" x14ac:dyDescent="0.25">
      <c r="A188">
        <v>187</v>
      </c>
      <c r="B188" s="4">
        <v>45438</v>
      </c>
      <c r="C188" s="4" t="str">
        <f>TEXT(Sales_Data[[#This Row],[Order_Date]],"mmm-yyyy")</f>
        <v>May-2024</v>
      </c>
      <c r="D188" s="4" t="str">
        <f>TEXT(Sales_Data[[#This Row],[Order_Date]],"yyy")</f>
        <v>2024</v>
      </c>
      <c r="E188" s="4" t="str">
        <f>TEXT(Sales_Data[[#This Row],[Order_Date]],"mmm")</f>
        <v>May</v>
      </c>
      <c r="F188" t="s">
        <v>12</v>
      </c>
      <c r="G188" t="s">
        <v>16</v>
      </c>
      <c r="H188" t="s">
        <v>19</v>
      </c>
      <c r="I188">
        <v>6</v>
      </c>
      <c r="J188">
        <v>4816</v>
      </c>
      <c r="K188">
        <v>0.15</v>
      </c>
      <c r="L188">
        <v>24561.599999999999</v>
      </c>
      <c r="M188">
        <v>1090</v>
      </c>
    </row>
    <row r="189" spans="1:13" x14ac:dyDescent="0.25">
      <c r="A189">
        <v>188</v>
      </c>
      <c r="B189" s="4">
        <v>45297</v>
      </c>
      <c r="C189" s="4" t="str">
        <f>TEXT(Sales_Data[[#This Row],[Order_Date]],"mmm-yyyy")</f>
        <v>Jan-2024</v>
      </c>
      <c r="D189" s="4" t="str">
        <f>TEXT(Sales_Data[[#This Row],[Order_Date]],"yyy")</f>
        <v>2024</v>
      </c>
      <c r="E189" s="4" t="str">
        <f>TEXT(Sales_Data[[#This Row],[Order_Date]],"mmm")</f>
        <v>Jan</v>
      </c>
      <c r="F189" t="s">
        <v>13</v>
      </c>
      <c r="G189" t="s">
        <v>14</v>
      </c>
      <c r="H189" t="s">
        <v>22</v>
      </c>
      <c r="I189">
        <v>5</v>
      </c>
      <c r="J189">
        <v>1043</v>
      </c>
      <c r="K189">
        <v>0.15</v>
      </c>
      <c r="L189">
        <v>4432.75</v>
      </c>
      <c r="M189">
        <v>1021</v>
      </c>
    </row>
    <row r="190" spans="1:13" x14ac:dyDescent="0.25">
      <c r="A190">
        <v>189</v>
      </c>
      <c r="B190" s="4">
        <v>45319</v>
      </c>
      <c r="C190" s="4" t="str">
        <f>TEXT(Sales_Data[[#This Row],[Order_Date]],"mmm-yyyy")</f>
        <v>Jan-2024</v>
      </c>
      <c r="D190" s="4" t="str">
        <f>TEXT(Sales_Data[[#This Row],[Order_Date]],"yyy")</f>
        <v>2024</v>
      </c>
      <c r="E190" s="4" t="str">
        <f>TEXT(Sales_Data[[#This Row],[Order_Date]],"mmm")</f>
        <v>Jan</v>
      </c>
      <c r="F190" t="s">
        <v>10</v>
      </c>
      <c r="G190" t="s">
        <v>14</v>
      </c>
      <c r="H190" t="s">
        <v>22</v>
      </c>
      <c r="I190">
        <v>6</v>
      </c>
      <c r="J190">
        <v>821</v>
      </c>
      <c r="K190">
        <v>0.15</v>
      </c>
      <c r="L190">
        <v>4187.1000000000004</v>
      </c>
      <c r="M190">
        <v>1055</v>
      </c>
    </row>
    <row r="191" spans="1:13" x14ac:dyDescent="0.25">
      <c r="A191">
        <v>190</v>
      </c>
      <c r="B191" s="4">
        <v>45371</v>
      </c>
      <c r="C191" s="4" t="str">
        <f>TEXT(Sales_Data[[#This Row],[Order_Date]],"mmm-yyyy")</f>
        <v>Mar-2024</v>
      </c>
      <c r="D191" s="4" t="str">
        <f>TEXT(Sales_Data[[#This Row],[Order_Date]],"yyy")</f>
        <v>2024</v>
      </c>
      <c r="E191" s="4" t="str">
        <f>TEXT(Sales_Data[[#This Row],[Order_Date]],"mmm")</f>
        <v>Mar</v>
      </c>
      <c r="F191" t="s">
        <v>13</v>
      </c>
      <c r="G191" t="s">
        <v>14</v>
      </c>
      <c r="H191" t="s">
        <v>22</v>
      </c>
      <c r="I191">
        <v>9</v>
      </c>
      <c r="J191">
        <v>744</v>
      </c>
      <c r="K191">
        <v>0.15</v>
      </c>
      <c r="L191">
        <v>5691.6</v>
      </c>
      <c r="M191">
        <v>1028</v>
      </c>
    </row>
    <row r="192" spans="1:13" x14ac:dyDescent="0.25">
      <c r="A192">
        <v>191</v>
      </c>
      <c r="B192" s="4">
        <v>45427</v>
      </c>
      <c r="C192" s="4" t="str">
        <f>TEXT(Sales_Data[[#This Row],[Order_Date]],"mmm-yyyy")</f>
        <v>May-2024</v>
      </c>
      <c r="D192" s="4" t="str">
        <f>TEXT(Sales_Data[[#This Row],[Order_Date]],"yyy")</f>
        <v>2024</v>
      </c>
      <c r="E192" s="4" t="str">
        <f>TEXT(Sales_Data[[#This Row],[Order_Date]],"mmm")</f>
        <v>May</v>
      </c>
      <c r="F192" t="s">
        <v>10</v>
      </c>
      <c r="G192" t="s">
        <v>16</v>
      </c>
      <c r="H192" t="s">
        <v>19</v>
      </c>
      <c r="I192">
        <v>2</v>
      </c>
      <c r="J192">
        <v>4281</v>
      </c>
      <c r="K192">
        <v>0</v>
      </c>
      <c r="L192">
        <v>8562</v>
      </c>
      <c r="M192">
        <v>1099</v>
      </c>
    </row>
    <row r="193" spans="1:13" x14ac:dyDescent="0.25">
      <c r="A193">
        <v>192</v>
      </c>
      <c r="B193" s="4">
        <v>45329</v>
      </c>
      <c r="C193" s="4" t="str">
        <f>TEXT(Sales_Data[[#This Row],[Order_Date]],"mmm-yyyy")</f>
        <v>Feb-2024</v>
      </c>
      <c r="D193" s="4" t="str">
        <f>TEXT(Sales_Data[[#This Row],[Order_Date]],"yyy")</f>
        <v>2024</v>
      </c>
      <c r="E193" s="4" t="str">
        <f>TEXT(Sales_Data[[#This Row],[Order_Date]],"mmm")</f>
        <v>Feb</v>
      </c>
      <c r="F193" t="s">
        <v>13</v>
      </c>
      <c r="G193" t="s">
        <v>16</v>
      </c>
      <c r="H193" t="s">
        <v>21</v>
      </c>
      <c r="I193">
        <v>3</v>
      </c>
      <c r="J193">
        <v>2035</v>
      </c>
      <c r="K193">
        <v>0</v>
      </c>
      <c r="L193">
        <v>6105</v>
      </c>
      <c r="M193">
        <v>1025</v>
      </c>
    </row>
    <row r="194" spans="1:13" x14ac:dyDescent="0.25">
      <c r="A194">
        <v>193</v>
      </c>
      <c r="B194" s="4">
        <v>45410</v>
      </c>
      <c r="C194" s="4" t="str">
        <f>TEXT(Sales_Data[[#This Row],[Order_Date]],"mmm-yyyy")</f>
        <v>Apr-2024</v>
      </c>
      <c r="D194" s="4" t="str">
        <f>TEXT(Sales_Data[[#This Row],[Order_Date]],"yyy")</f>
        <v>2024</v>
      </c>
      <c r="E194" s="4" t="str">
        <f>TEXT(Sales_Data[[#This Row],[Order_Date]],"mmm")</f>
        <v>Apr</v>
      </c>
      <c r="F194" t="s">
        <v>12</v>
      </c>
      <c r="G194" t="s">
        <v>15</v>
      </c>
      <c r="H194" t="s">
        <v>24</v>
      </c>
      <c r="I194">
        <v>2</v>
      </c>
      <c r="J194">
        <v>1551</v>
      </c>
      <c r="K194">
        <v>0.15</v>
      </c>
      <c r="L194">
        <v>2636.7</v>
      </c>
      <c r="M194">
        <v>1087</v>
      </c>
    </row>
    <row r="195" spans="1:13" x14ac:dyDescent="0.25">
      <c r="A195">
        <v>194</v>
      </c>
      <c r="B195" s="4">
        <v>45330</v>
      </c>
      <c r="C195" s="4" t="str">
        <f>TEXT(Sales_Data[[#This Row],[Order_Date]],"mmm-yyyy")</f>
        <v>Feb-2024</v>
      </c>
      <c r="D195" s="4" t="str">
        <f>TEXT(Sales_Data[[#This Row],[Order_Date]],"yyy")</f>
        <v>2024</v>
      </c>
      <c r="E195" s="4" t="str">
        <f>TEXT(Sales_Data[[#This Row],[Order_Date]],"mmm")</f>
        <v>Feb</v>
      </c>
      <c r="F195" t="s">
        <v>12</v>
      </c>
      <c r="G195" t="s">
        <v>14</v>
      </c>
      <c r="H195" t="s">
        <v>23</v>
      </c>
      <c r="I195">
        <v>10</v>
      </c>
      <c r="J195">
        <v>2747</v>
      </c>
      <c r="K195">
        <v>0.1</v>
      </c>
      <c r="L195">
        <v>24723</v>
      </c>
      <c r="M195">
        <v>1008</v>
      </c>
    </row>
    <row r="196" spans="1:13" x14ac:dyDescent="0.25">
      <c r="A196">
        <v>195</v>
      </c>
      <c r="B196" s="4">
        <v>45382</v>
      </c>
      <c r="C196" s="4" t="str">
        <f>TEXT(Sales_Data[[#This Row],[Order_Date]],"mmm-yyyy")</f>
        <v>Mar-2024</v>
      </c>
      <c r="D196" s="4" t="str">
        <f>TEXT(Sales_Data[[#This Row],[Order_Date]],"yyy")</f>
        <v>2024</v>
      </c>
      <c r="E196" s="4" t="str">
        <f>TEXT(Sales_Data[[#This Row],[Order_Date]],"mmm")</f>
        <v>Mar</v>
      </c>
      <c r="F196" t="s">
        <v>11</v>
      </c>
      <c r="G196" t="s">
        <v>16</v>
      </c>
      <c r="H196" t="s">
        <v>21</v>
      </c>
      <c r="I196">
        <v>5</v>
      </c>
      <c r="J196">
        <v>2350</v>
      </c>
      <c r="K196">
        <v>0</v>
      </c>
      <c r="L196">
        <v>11750</v>
      </c>
      <c r="M196">
        <v>1039</v>
      </c>
    </row>
    <row r="197" spans="1:13" x14ac:dyDescent="0.25">
      <c r="A197">
        <v>196</v>
      </c>
      <c r="B197" s="4">
        <v>45365</v>
      </c>
      <c r="C197" s="4" t="str">
        <f>TEXT(Sales_Data[[#This Row],[Order_Date]],"mmm-yyyy")</f>
        <v>Mar-2024</v>
      </c>
      <c r="D197" s="4" t="str">
        <f>TEXT(Sales_Data[[#This Row],[Order_Date]],"yyy")</f>
        <v>2024</v>
      </c>
      <c r="E197" s="4" t="str">
        <f>TEXT(Sales_Data[[#This Row],[Order_Date]],"mmm")</f>
        <v>Mar</v>
      </c>
      <c r="F197" t="s">
        <v>11</v>
      </c>
      <c r="G197" t="s">
        <v>16</v>
      </c>
      <c r="H197" t="s">
        <v>21</v>
      </c>
      <c r="I197">
        <v>1</v>
      </c>
      <c r="J197">
        <v>566</v>
      </c>
      <c r="K197">
        <v>0.1</v>
      </c>
      <c r="L197">
        <v>509.4</v>
      </c>
      <c r="M197">
        <v>1082</v>
      </c>
    </row>
    <row r="198" spans="1:13" x14ac:dyDescent="0.25">
      <c r="A198">
        <v>197</v>
      </c>
      <c r="B198" s="4">
        <v>45407</v>
      </c>
      <c r="C198" s="4" t="str">
        <f>TEXT(Sales_Data[[#This Row],[Order_Date]],"mmm-yyyy")</f>
        <v>Apr-2024</v>
      </c>
      <c r="D198" s="4" t="str">
        <f>TEXT(Sales_Data[[#This Row],[Order_Date]],"yyy")</f>
        <v>2024</v>
      </c>
      <c r="E198" s="4" t="str">
        <f>TEXT(Sales_Data[[#This Row],[Order_Date]],"mmm")</f>
        <v>Apr</v>
      </c>
      <c r="F198" t="s">
        <v>10</v>
      </c>
      <c r="G198" t="s">
        <v>15</v>
      </c>
      <c r="H198" t="s">
        <v>26</v>
      </c>
      <c r="I198">
        <v>8</v>
      </c>
      <c r="J198">
        <v>4854</v>
      </c>
      <c r="K198">
        <v>0</v>
      </c>
      <c r="L198">
        <v>38832</v>
      </c>
      <c r="M198">
        <v>1041</v>
      </c>
    </row>
    <row r="199" spans="1:13" x14ac:dyDescent="0.25">
      <c r="A199">
        <v>198</v>
      </c>
      <c r="B199" s="4">
        <v>45407</v>
      </c>
      <c r="C199" s="4" t="str">
        <f>TEXT(Sales_Data[[#This Row],[Order_Date]],"mmm-yyyy")</f>
        <v>Apr-2024</v>
      </c>
      <c r="D199" s="4" t="str">
        <f>TEXT(Sales_Data[[#This Row],[Order_Date]],"yyy")</f>
        <v>2024</v>
      </c>
      <c r="E199" s="4" t="str">
        <f>TEXT(Sales_Data[[#This Row],[Order_Date]],"mmm")</f>
        <v>Apr</v>
      </c>
      <c r="F199" t="s">
        <v>11</v>
      </c>
      <c r="G199" t="s">
        <v>14</v>
      </c>
      <c r="H199" t="s">
        <v>22</v>
      </c>
      <c r="I199">
        <v>9</v>
      </c>
      <c r="J199">
        <v>1335</v>
      </c>
      <c r="K199">
        <v>0</v>
      </c>
      <c r="L199">
        <v>12015</v>
      </c>
      <c r="M199">
        <v>1043</v>
      </c>
    </row>
    <row r="200" spans="1:13" x14ac:dyDescent="0.25">
      <c r="A200">
        <v>199</v>
      </c>
      <c r="B200" s="4">
        <v>45355</v>
      </c>
      <c r="C200" s="4" t="str">
        <f>TEXT(Sales_Data[[#This Row],[Order_Date]],"mmm-yyyy")</f>
        <v>Mar-2024</v>
      </c>
      <c r="D200" s="4" t="str">
        <f>TEXT(Sales_Data[[#This Row],[Order_Date]],"yyy")</f>
        <v>2024</v>
      </c>
      <c r="E200" s="4" t="str">
        <f>TEXT(Sales_Data[[#This Row],[Order_Date]],"mmm")</f>
        <v>Mar</v>
      </c>
      <c r="F200" t="s">
        <v>12</v>
      </c>
      <c r="G200" t="s">
        <v>14</v>
      </c>
      <c r="H200" t="s">
        <v>17</v>
      </c>
      <c r="I200">
        <v>9</v>
      </c>
      <c r="J200">
        <v>1513</v>
      </c>
      <c r="K200">
        <v>0</v>
      </c>
      <c r="L200">
        <v>13617</v>
      </c>
      <c r="M200">
        <v>1056</v>
      </c>
    </row>
    <row r="201" spans="1:13" x14ac:dyDescent="0.25">
      <c r="A201">
        <v>200</v>
      </c>
      <c r="B201" s="4">
        <v>45387</v>
      </c>
      <c r="C201" s="4" t="str">
        <f>TEXT(Sales_Data[[#This Row],[Order_Date]],"mmm-yyyy")</f>
        <v>Apr-2024</v>
      </c>
      <c r="D201" s="4" t="str">
        <f>TEXT(Sales_Data[[#This Row],[Order_Date]],"yyy")</f>
        <v>2024</v>
      </c>
      <c r="E201" s="4" t="str">
        <f>TEXT(Sales_Data[[#This Row],[Order_Date]],"mmm")</f>
        <v>Apr</v>
      </c>
      <c r="F201" t="s">
        <v>13</v>
      </c>
      <c r="G201" t="s">
        <v>14</v>
      </c>
      <c r="H201" t="s">
        <v>23</v>
      </c>
      <c r="I201">
        <v>10</v>
      </c>
      <c r="J201">
        <v>1400</v>
      </c>
      <c r="K201">
        <v>0.1</v>
      </c>
      <c r="L201">
        <v>12600</v>
      </c>
      <c r="M201">
        <v>1049</v>
      </c>
    </row>
    <row r="202" spans="1:13" x14ac:dyDescent="0.25">
      <c r="A202">
        <v>201</v>
      </c>
      <c r="B202" s="4">
        <v>45308</v>
      </c>
      <c r="C202" s="4" t="str">
        <f>TEXT(Sales_Data[[#This Row],[Order_Date]],"mmm-yyyy")</f>
        <v>Jan-2024</v>
      </c>
      <c r="D202" s="4" t="str">
        <f>TEXT(Sales_Data[[#This Row],[Order_Date]],"yyy")</f>
        <v>2024</v>
      </c>
      <c r="E202" s="4" t="str">
        <f>TEXT(Sales_Data[[#This Row],[Order_Date]],"mmm")</f>
        <v>Jan</v>
      </c>
      <c r="F202" t="s">
        <v>13</v>
      </c>
      <c r="G202" t="s">
        <v>16</v>
      </c>
      <c r="H202" t="s">
        <v>21</v>
      </c>
      <c r="I202">
        <v>10</v>
      </c>
      <c r="J202">
        <v>528</v>
      </c>
      <c r="K202">
        <v>0.1</v>
      </c>
      <c r="L202">
        <v>4752</v>
      </c>
      <c r="M202">
        <v>1012</v>
      </c>
    </row>
    <row r="203" spans="1:13" x14ac:dyDescent="0.25">
      <c r="A203">
        <v>202</v>
      </c>
      <c r="B203" s="4">
        <v>45460</v>
      </c>
      <c r="C203" s="4" t="str">
        <f>TEXT(Sales_Data[[#This Row],[Order_Date]],"mmm-yyyy")</f>
        <v>Jun-2024</v>
      </c>
      <c r="D203" s="4" t="str">
        <f>TEXT(Sales_Data[[#This Row],[Order_Date]],"yyy")</f>
        <v>2024</v>
      </c>
      <c r="E203" s="4" t="str">
        <f>TEXT(Sales_Data[[#This Row],[Order_Date]],"mmm")</f>
        <v>Jun</v>
      </c>
      <c r="F203" t="s">
        <v>10</v>
      </c>
      <c r="G203" t="s">
        <v>14</v>
      </c>
      <c r="H203" t="s">
        <v>23</v>
      </c>
      <c r="I203">
        <v>7</v>
      </c>
      <c r="J203">
        <v>2427</v>
      </c>
      <c r="K203">
        <v>0.1</v>
      </c>
      <c r="L203">
        <v>15290.1</v>
      </c>
      <c r="M203">
        <v>1042</v>
      </c>
    </row>
    <row r="204" spans="1:13" x14ac:dyDescent="0.25">
      <c r="A204">
        <v>203</v>
      </c>
      <c r="B204" s="4">
        <v>45325</v>
      </c>
      <c r="C204" s="4" t="str">
        <f>TEXT(Sales_Data[[#This Row],[Order_Date]],"mmm-yyyy")</f>
        <v>Feb-2024</v>
      </c>
      <c r="D204" s="4" t="str">
        <f>TEXT(Sales_Data[[#This Row],[Order_Date]],"yyy")</f>
        <v>2024</v>
      </c>
      <c r="E204" s="4" t="str">
        <f>TEXT(Sales_Data[[#This Row],[Order_Date]],"mmm")</f>
        <v>Feb</v>
      </c>
      <c r="F204" t="s">
        <v>11</v>
      </c>
      <c r="G204" t="s">
        <v>15</v>
      </c>
      <c r="H204" t="s">
        <v>24</v>
      </c>
      <c r="I204">
        <v>6</v>
      </c>
      <c r="J204">
        <v>2641</v>
      </c>
      <c r="K204">
        <v>0.15</v>
      </c>
      <c r="L204">
        <v>13469.1</v>
      </c>
      <c r="M204">
        <v>1039</v>
      </c>
    </row>
    <row r="205" spans="1:13" x14ac:dyDescent="0.25">
      <c r="A205">
        <v>204</v>
      </c>
      <c r="B205" s="4">
        <v>45457</v>
      </c>
      <c r="C205" s="4" t="str">
        <f>TEXT(Sales_Data[[#This Row],[Order_Date]],"mmm-yyyy")</f>
        <v>Jun-2024</v>
      </c>
      <c r="D205" s="4" t="str">
        <f>TEXT(Sales_Data[[#This Row],[Order_Date]],"yyy")</f>
        <v>2024</v>
      </c>
      <c r="E205" s="4" t="str">
        <f>TEXT(Sales_Data[[#This Row],[Order_Date]],"mmm")</f>
        <v>Jun</v>
      </c>
      <c r="F205" t="s">
        <v>12</v>
      </c>
      <c r="G205" t="s">
        <v>14</v>
      </c>
      <c r="H205" t="s">
        <v>22</v>
      </c>
      <c r="I205">
        <v>6</v>
      </c>
      <c r="J205">
        <v>1146</v>
      </c>
      <c r="K205">
        <v>0</v>
      </c>
      <c r="L205">
        <v>6876</v>
      </c>
      <c r="M205">
        <v>1065</v>
      </c>
    </row>
    <row r="206" spans="1:13" x14ac:dyDescent="0.25">
      <c r="A206">
        <v>205</v>
      </c>
      <c r="B206" s="4">
        <v>45346</v>
      </c>
      <c r="C206" s="4" t="str">
        <f>TEXT(Sales_Data[[#This Row],[Order_Date]],"mmm-yyyy")</f>
        <v>Feb-2024</v>
      </c>
      <c r="D206" s="4" t="str">
        <f>TEXT(Sales_Data[[#This Row],[Order_Date]],"yyy")</f>
        <v>2024</v>
      </c>
      <c r="E206" s="4" t="str">
        <f>TEXT(Sales_Data[[#This Row],[Order_Date]],"mmm")</f>
        <v>Feb</v>
      </c>
      <c r="F206" t="s">
        <v>13</v>
      </c>
      <c r="G206" t="s">
        <v>16</v>
      </c>
      <c r="H206" t="s">
        <v>19</v>
      </c>
      <c r="I206">
        <v>6</v>
      </c>
      <c r="J206">
        <v>2630</v>
      </c>
      <c r="K206">
        <v>0.05</v>
      </c>
      <c r="L206">
        <v>14991</v>
      </c>
      <c r="M206">
        <v>1098</v>
      </c>
    </row>
    <row r="207" spans="1:13" x14ac:dyDescent="0.25">
      <c r="A207">
        <v>206</v>
      </c>
      <c r="B207" s="4">
        <v>45311</v>
      </c>
      <c r="C207" s="4" t="str">
        <f>TEXT(Sales_Data[[#This Row],[Order_Date]],"mmm-yyyy")</f>
        <v>Jan-2024</v>
      </c>
      <c r="D207" s="4" t="str">
        <f>TEXT(Sales_Data[[#This Row],[Order_Date]],"yyy")</f>
        <v>2024</v>
      </c>
      <c r="E207" s="4" t="str">
        <f>TEXT(Sales_Data[[#This Row],[Order_Date]],"mmm")</f>
        <v>Jan</v>
      </c>
      <c r="F207" t="s">
        <v>13</v>
      </c>
      <c r="G207" t="s">
        <v>16</v>
      </c>
      <c r="H207" t="s">
        <v>19</v>
      </c>
      <c r="I207">
        <v>4</v>
      </c>
      <c r="J207">
        <v>1226</v>
      </c>
      <c r="K207">
        <v>0.05</v>
      </c>
      <c r="L207">
        <v>4658.8</v>
      </c>
      <c r="M207">
        <v>1100</v>
      </c>
    </row>
    <row r="208" spans="1:13" x14ac:dyDescent="0.25">
      <c r="A208">
        <v>207</v>
      </c>
      <c r="B208" s="4">
        <v>45331</v>
      </c>
      <c r="C208" s="4" t="str">
        <f>TEXT(Sales_Data[[#This Row],[Order_Date]],"mmm-yyyy")</f>
        <v>Feb-2024</v>
      </c>
      <c r="D208" s="4" t="str">
        <f>TEXT(Sales_Data[[#This Row],[Order_Date]],"yyy")</f>
        <v>2024</v>
      </c>
      <c r="E208" s="4" t="str">
        <f>TEXT(Sales_Data[[#This Row],[Order_Date]],"mmm")</f>
        <v>Feb</v>
      </c>
      <c r="F208" t="s">
        <v>10</v>
      </c>
      <c r="G208" t="s">
        <v>15</v>
      </c>
      <c r="H208" t="s">
        <v>18</v>
      </c>
      <c r="I208">
        <v>6</v>
      </c>
      <c r="J208">
        <v>1173</v>
      </c>
      <c r="K208">
        <v>0.15</v>
      </c>
      <c r="L208">
        <v>5982.3</v>
      </c>
      <c r="M208">
        <v>1023</v>
      </c>
    </row>
    <row r="209" spans="1:13" x14ac:dyDescent="0.25">
      <c r="A209">
        <v>208</v>
      </c>
      <c r="B209" s="4">
        <v>45397</v>
      </c>
      <c r="C209" s="4" t="str">
        <f>TEXT(Sales_Data[[#This Row],[Order_Date]],"mmm-yyyy")</f>
        <v>Apr-2024</v>
      </c>
      <c r="D209" s="4" t="str">
        <f>TEXT(Sales_Data[[#This Row],[Order_Date]],"yyy")</f>
        <v>2024</v>
      </c>
      <c r="E209" s="4" t="str">
        <f>TEXT(Sales_Data[[#This Row],[Order_Date]],"mmm")</f>
        <v>Apr</v>
      </c>
      <c r="F209" t="s">
        <v>13</v>
      </c>
      <c r="G209" t="s">
        <v>14</v>
      </c>
      <c r="H209" t="s">
        <v>23</v>
      </c>
      <c r="I209">
        <v>3</v>
      </c>
      <c r="J209">
        <v>3685</v>
      </c>
      <c r="K209">
        <v>0</v>
      </c>
      <c r="L209">
        <v>11055</v>
      </c>
      <c r="M209">
        <v>1086</v>
      </c>
    </row>
    <row r="210" spans="1:13" x14ac:dyDescent="0.25">
      <c r="A210">
        <v>209</v>
      </c>
      <c r="B210" s="4">
        <v>45351</v>
      </c>
      <c r="C210" s="4" t="str">
        <f>TEXT(Sales_Data[[#This Row],[Order_Date]],"mmm-yyyy")</f>
        <v>Feb-2024</v>
      </c>
      <c r="D210" s="4" t="str">
        <f>TEXT(Sales_Data[[#This Row],[Order_Date]],"yyy")</f>
        <v>2024</v>
      </c>
      <c r="E210" s="4" t="str">
        <f>TEXT(Sales_Data[[#This Row],[Order_Date]],"mmm")</f>
        <v>Feb</v>
      </c>
      <c r="F210" t="s">
        <v>10</v>
      </c>
      <c r="G210" t="s">
        <v>14</v>
      </c>
      <c r="H210" t="s">
        <v>17</v>
      </c>
      <c r="I210">
        <v>8</v>
      </c>
      <c r="J210">
        <v>2434</v>
      </c>
      <c r="K210">
        <v>0.15</v>
      </c>
      <c r="L210">
        <v>16551.2</v>
      </c>
      <c r="M210">
        <v>1039</v>
      </c>
    </row>
    <row r="211" spans="1:13" x14ac:dyDescent="0.25">
      <c r="A211">
        <v>210</v>
      </c>
      <c r="B211" s="4">
        <v>45410</v>
      </c>
      <c r="C211" s="4" t="str">
        <f>TEXT(Sales_Data[[#This Row],[Order_Date]],"mmm-yyyy")</f>
        <v>Apr-2024</v>
      </c>
      <c r="D211" s="4" t="str">
        <f>TEXT(Sales_Data[[#This Row],[Order_Date]],"yyy")</f>
        <v>2024</v>
      </c>
      <c r="E211" s="4" t="str">
        <f>TEXT(Sales_Data[[#This Row],[Order_Date]],"mmm")</f>
        <v>Apr</v>
      </c>
      <c r="F211" t="s">
        <v>13</v>
      </c>
      <c r="G211" t="s">
        <v>16</v>
      </c>
      <c r="H211" t="s">
        <v>19</v>
      </c>
      <c r="I211">
        <v>6</v>
      </c>
      <c r="J211">
        <v>4772</v>
      </c>
      <c r="K211">
        <v>0.15</v>
      </c>
      <c r="L211">
        <v>24337.200000000001</v>
      </c>
      <c r="M211">
        <v>1099</v>
      </c>
    </row>
    <row r="212" spans="1:13" x14ac:dyDescent="0.25">
      <c r="A212">
        <v>211</v>
      </c>
      <c r="B212" s="4">
        <v>45343</v>
      </c>
      <c r="C212" s="4" t="str">
        <f>TEXT(Sales_Data[[#This Row],[Order_Date]],"mmm-yyyy")</f>
        <v>Feb-2024</v>
      </c>
      <c r="D212" s="4" t="str">
        <f>TEXT(Sales_Data[[#This Row],[Order_Date]],"yyy")</f>
        <v>2024</v>
      </c>
      <c r="E212" s="4" t="str">
        <f>TEXT(Sales_Data[[#This Row],[Order_Date]],"mmm")</f>
        <v>Feb</v>
      </c>
      <c r="F212" t="s">
        <v>10</v>
      </c>
      <c r="G212" t="s">
        <v>16</v>
      </c>
      <c r="H212" t="s">
        <v>20</v>
      </c>
      <c r="I212">
        <v>9</v>
      </c>
      <c r="J212">
        <v>3529</v>
      </c>
      <c r="K212">
        <v>0.05</v>
      </c>
      <c r="L212">
        <v>30172.95</v>
      </c>
      <c r="M212">
        <v>1032</v>
      </c>
    </row>
    <row r="213" spans="1:13" x14ac:dyDescent="0.25">
      <c r="A213">
        <v>212</v>
      </c>
      <c r="B213" s="4">
        <v>45424</v>
      </c>
      <c r="C213" s="4" t="str">
        <f>TEXT(Sales_Data[[#This Row],[Order_Date]],"mmm-yyyy")</f>
        <v>May-2024</v>
      </c>
      <c r="D213" s="4" t="str">
        <f>TEXT(Sales_Data[[#This Row],[Order_Date]],"yyy")</f>
        <v>2024</v>
      </c>
      <c r="E213" s="4" t="str">
        <f>TEXT(Sales_Data[[#This Row],[Order_Date]],"mmm")</f>
        <v>May</v>
      </c>
      <c r="F213" t="s">
        <v>11</v>
      </c>
      <c r="G213" t="s">
        <v>15</v>
      </c>
      <c r="H213" t="s">
        <v>26</v>
      </c>
      <c r="I213">
        <v>6</v>
      </c>
      <c r="J213">
        <v>4642</v>
      </c>
      <c r="K213">
        <v>0</v>
      </c>
      <c r="L213">
        <v>27852</v>
      </c>
      <c r="M213">
        <v>1036</v>
      </c>
    </row>
    <row r="214" spans="1:13" x14ac:dyDescent="0.25">
      <c r="A214">
        <v>213</v>
      </c>
      <c r="B214" s="4">
        <v>45403</v>
      </c>
      <c r="C214" s="4" t="str">
        <f>TEXT(Sales_Data[[#This Row],[Order_Date]],"mmm-yyyy")</f>
        <v>Apr-2024</v>
      </c>
      <c r="D214" s="4" t="str">
        <f>TEXT(Sales_Data[[#This Row],[Order_Date]],"yyy")</f>
        <v>2024</v>
      </c>
      <c r="E214" s="4" t="str">
        <f>TEXT(Sales_Data[[#This Row],[Order_Date]],"mmm")</f>
        <v>Apr</v>
      </c>
      <c r="F214" t="s">
        <v>11</v>
      </c>
      <c r="G214" t="s">
        <v>15</v>
      </c>
      <c r="H214" t="s">
        <v>24</v>
      </c>
      <c r="I214">
        <v>5</v>
      </c>
      <c r="J214">
        <v>3780</v>
      </c>
      <c r="K214">
        <v>0.05</v>
      </c>
      <c r="L214">
        <v>17955</v>
      </c>
      <c r="M214">
        <v>1028</v>
      </c>
    </row>
    <row r="215" spans="1:13" x14ac:dyDescent="0.25">
      <c r="A215">
        <v>214</v>
      </c>
      <c r="B215" s="4">
        <v>45393</v>
      </c>
      <c r="C215" s="4" t="str">
        <f>TEXT(Sales_Data[[#This Row],[Order_Date]],"mmm-yyyy")</f>
        <v>Apr-2024</v>
      </c>
      <c r="D215" s="4" t="str">
        <f>TEXT(Sales_Data[[#This Row],[Order_Date]],"yyy")</f>
        <v>2024</v>
      </c>
      <c r="E215" s="4" t="str">
        <f>TEXT(Sales_Data[[#This Row],[Order_Date]],"mmm")</f>
        <v>Apr</v>
      </c>
      <c r="F215" t="s">
        <v>13</v>
      </c>
      <c r="G215" t="s">
        <v>16</v>
      </c>
      <c r="H215" t="s">
        <v>21</v>
      </c>
      <c r="I215">
        <v>1</v>
      </c>
      <c r="J215">
        <v>3498</v>
      </c>
      <c r="K215">
        <v>0</v>
      </c>
      <c r="L215">
        <v>3498</v>
      </c>
      <c r="M215">
        <v>1030</v>
      </c>
    </row>
    <row r="216" spans="1:13" x14ac:dyDescent="0.25">
      <c r="A216">
        <v>215</v>
      </c>
      <c r="B216" s="4">
        <v>45373</v>
      </c>
      <c r="C216" s="4" t="str">
        <f>TEXT(Sales_Data[[#This Row],[Order_Date]],"mmm-yyyy")</f>
        <v>Mar-2024</v>
      </c>
      <c r="D216" s="4" t="str">
        <f>TEXT(Sales_Data[[#This Row],[Order_Date]],"yyy")</f>
        <v>2024</v>
      </c>
      <c r="E216" s="4" t="str">
        <f>TEXT(Sales_Data[[#This Row],[Order_Date]],"mmm")</f>
        <v>Mar</v>
      </c>
      <c r="F216" t="s">
        <v>11</v>
      </c>
      <c r="G216" t="s">
        <v>16</v>
      </c>
      <c r="H216" t="s">
        <v>19</v>
      </c>
      <c r="I216">
        <v>6</v>
      </c>
      <c r="J216">
        <v>1939</v>
      </c>
      <c r="K216">
        <v>0</v>
      </c>
      <c r="L216">
        <v>11634</v>
      </c>
      <c r="M216">
        <v>1091</v>
      </c>
    </row>
    <row r="217" spans="1:13" x14ac:dyDescent="0.25">
      <c r="A217">
        <v>216</v>
      </c>
      <c r="B217" s="4">
        <v>45365</v>
      </c>
      <c r="C217" s="4" t="str">
        <f>TEXT(Sales_Data[[#This Row],[Order_Date]],"mmm-yyyy")</f>
        <v>Mar-2024</v>
      </c>
      <c r="D217" s="4" t="str">
        <f>TEXT(Sales_Data[[#This Row],[Order_Date]],"yyy")</f>
        <v>2024</v>
      </c>
      <c r="E217" s="4" t="str">
        <f>TEXT(Sales_Data[[#This Row],[Order_Date]],"mmm")</f>
        <v>Mar</v>
      </c>
      <c r="F217" t="s">
        <v>12</v>
      </c>
      <c r="G217" t="s">
        <v>14</v>
      </c>
      <c r="H217" t="s">
        <v>22</v>
      </c>
      <c r="I217">
        <v>3</v>
      </c>
      <c r="J217">
        <v>1227</v>
      </c>
      <c r="K217">
        <v>0</v>
      </c>
      <c r="L217">
        <v>3681</v>
      </c>
      <c r="M217">
        <v>1089</v>
      </c>
    </row>
    <row r="218" spans="1:13" x14ac:dyDescent="0.25">
      <c r="A218">
        <v>217</v>
      </c>
      <c r="B218" s="4">
        <v>45296</v>
      </c>
      <c r="C218" s="4" t="str">
        <f>TEXT(Sales_Data[[#This Row],[Order_Date]],"mmm-yyyy")</f>
        <v>Jan-2024</v>
      </c>
      <c r="D218" s="4" t="str">
        <f>TEXT(Sales_Data[[#This Row],[Order_Date]],"yyy")</f>
        <v>2024</v>
      </c>
      <c r="E218" s="4" t="str">
        <f>TEXT(Sales_Data[[#This Row],[Order_Date]],"mmm")</f>
        <v>Jan</v>
      </c>
      <c r="F218" t="s">
        <v>13</v>
      </c>
      <c r="G218" t="s">
        <v>15</v>
      </c>
      <c r="H218" t="s">
        <v>26</v>
      </c>
      <c r="I218">
        <v>8</v>
      </c>
      <c r="J218">
        <v>143</v>
      </c>
      <c r="K218">
        <v>0</v>
      </c>
      <c r="L218">
        <v>1144</v>
      </c>
      <c r="M218">
        <v>1027</v>
      </c>
    </row>
    <row r="219" spans="1:13" x14ac:dyDescent="0.25">
      <c r="A219">
        <v>218</v>
      </c>
      <c r="B219" s="4">
        <v>45369</v>
      </c>
      <c r="C219" s="4" t="str">
        <f>TEXT(Sales_Data[[#This Row],[Order_Date]],"mmm-yyyy")</f>
        <v>Mar-2024</v>
      </c>
      <c r="D219" s="4" t="str">
        <f>TEXT(Sales_Data[[#This Row],[Order_Date]],"yyy")</f>
        <v>2024</v>
      </c>
      <c r="E219" s="4" t="str">
        <f>TEXT(Sales_Data[[#This Row],[Order_Date]],"mmm")</f>
        <v>Mar</v>
      </c>
      <c r="F219" t="s">
        <v>11</v>
      </c>
      <c r="G219" t="s">
        <v>15</v>
      </c>
      <c r="H219" t="s">
        <v>26</v>
      </c>
      <c r="I219">
        <v>2</v>
      </c>
      <c r="J219">
        <v>2460</v>
      </c>
      <c r="K219">
        <v>0.05</v>
      </c>
      <c r="L219">
        <v>4674</v>
      </c>
      <c r="M219">
        <v>1006</v>
      </c>
    </row>
    <row r="220" spans="1:13" x14ac:dyDescent="0.25">
      <c r="A220">
        <v>219</v>
      </c>
      <c r="B220" s="4">
        <v>45320</v>
      </c>
      <c r="C220" s="4" t="str">
        <f>TEXT(Sales_Data[[#This Row],[Order_Date]],"mmm-yyyy")</f>
        <v>Jan-2024</v>
      </c>
      <c r="D220" s="4" t="str">
        <f>TEXT(Sales_Data[[#This Row],[Order_Date]],"yyy")</f>
        <v>2024</v>
      </c>
      <c r="E220" s="4" t="str">
        <f>TEXT(Sales_Data[[#This Row],[Order_Date]],"mmm")</f>
        <v>Jan</v>
      </c>
      <c r="F220" t="s">
        <v>12</v>
      </c>
      <c r="G220" t="s">
        <v>15</v>
      </c>
      <c r="H220" t="s">
        <v>26</v>
      </c>
      <c r="I220">
        <v>10</v>
      </c>
      <c r="J220">
        <v>3844</v>
      </c>
      <c r="K220">
        <v>0</v>
      </c>
      <c r="L220">
        <v>38440</v>
      </c>
      <c r="M220">
        <v>1076</v>
      </c>
    </row>
    <row r="221" spans="1:13" x14ac:dyDescent="0.25">
      <c r="A221">
        <v>220</v>
      </c>
      <c r="B221" s="4">
        <v>45328</v>
      </c>
      <c r="C221" s="4" t="str">
        <f>TEXT(Sales_Data[[#This Row],[Order_Date]],"mmm-yyyy")</f>
        <v>Feb-2024</v>
      </c>
      <c r="D221" s="4" t="str">
        <f>TEXT(Sales_Data[[#This Row],[Order_Date]],"yyy")</f>
        <v>2024</v>
      </c>
      <c r="E221" s="4" t="str">
        <f>TEXT(Sales_Data[[#This Row],[Order_Date]],"mmm")</f>
        <v>Feb</v>
      </c>
      <c r="F221" t="s">
        <v>13</v>
      </c>
      <c r="G221" t="s">
        <v>14</v>
      </c>
      <c r="H221" t="s">
        <v>17</v>
      </c>
      <c r="I221">
        <v>9</v>
      </c>
      <c r="J221">
        <v>4810</v>
      </c>
      <c r="K221">
        <v>0.05</v>
      </c>
      <c r="L221">
        <v>41125.5</v>
      </c>
      <c r="M221">
        <v>1054</v>
      </c>
    </row>
    <row r="222" spans="1:13" x14ac:dyDescent="0.25">
      <c r="A222">
        <v>221</v>
      </c>
      <c r="B222" s="4">
        <v>45339</v>
      </c>
      <c r="C222" s="4" t="str">
        <f>TEXT(Sales_Data[[#This Row],[Order_Date]],"mmm-yyyy")</f>
        <v>Feb-2024</v>
      </c>
      <c r="D222" s="4" t="str">
        <f>TEXT(Sales_Data[[#This Row],[Order_Date]],"yyy")</f>
        <v>2024</v>
      </c>
      <c r="E222" s="4" t="str">
        <f>TEXT(Sales_Data[[#This Row],[Order_Date]],"mmm")</f>
        <v>Feb</v>
      </c>
      <c r="F222" t="s">
        <v>11</v>
      </c>
      <c r="G222" t="s">
        <v>15</v>
      </c>
      <c r="H222" t="s">
        <v>25</v>
      </c>
      <c r="I222">
        <v>4</v>
      </c>
      <c r="J222">
        <v>4774</v>
      </c>
      <c r="K222">
        <v>0.15</v>
      </c>
      <c r="L222">
        <v>16231.6</v>
      </c>
      <c r="M222">
        <v>1067</v>
      </c>
    </row>
    <row r="223" spans="1:13" x14ac:dyDescent="0.25">
      <c r="A223">
        <v>222</v>
      </c>
      <c r="B223" s="4">
        <v>45391</v>
      </c>
      <c r="C223" s="4" t="str">
        <f>TEXT(Sales_Data[[#This Row],[Order_Date]],"mmm-yyyy")</f>
        <v>Apr-2024</v>
      </c>
      <c r="D223" s="4" t="str">
        <f>TEXT(Sales_Data[[#This Row],[Order_Date]],"yyy")</f>
        <v>2024</v>
      </c>
      <c r="E223" s="4" t="str">
        <f>TEXT(Sales_Data[[#This Row],[Order_Date]],"mmm")</f>
        <v>Apr</v>
      </c>
      <c r="F223" t="s">
        <v>12</v>
      </c>
      <c r="G223" t="s">
        <v>16</v>
      </c>
      <c r="H223" t="s">
        <v>19</v>
      </c>
      <c r="I223">
        <v>9</v>
      </c>
      <c r="J223">
        <v>4557</v>
      </c>
      <c r="K223">
        <v>0</v>
      </c>
      <c r="L223">
        <v>41013</v>
      </c>
      <c r="M223">
        <v>1005</v>
      </c>
    </row>
    <row r="224" spans="1:13" x14ac:dyDescent="0.25">
      <c r="A224">
        <v>223</v>
      </c>
      <c r="B224" s="4">
        <v>45383</v>
      </c>
      <c r="C224" s="4" t="str">
        <f>TEXT(Sales_Data[[#This Row],[Order_Date]],"mmm-yyyy")</f>
        <v>Apr-2024</v>
      </c>
      <c r="D224" s="4" t="str">
        <f>TEXT(Sales_Data[[#This Row],[Order_Date]],"yyy")</f>
        <v>2024</v>
      </c>
      <c r="E224" s="4" t="str">
        <f>TEXT(Sales_Data[[#This Row],[Order_Date]],"mmm")</f>
        <v>Apr</v>
      </c>
      <c r="F224" t="s">
        <v>11</v>
      </c>
      <c r="G224" t="s">
        <v>14</v>
      </c>
      <c r="H224" t="s">
        <v>22</v>
      </c>
      <c r="I224">
        <v>6</v>
      </c>
      <c r="J224">
        <v>2177</v>
      </c>
      <c r="K224">
        <v>0</v>
      </c>
      <c r="L224">
        <v>13062</v>
      </c>
      <c r="M224">
        <v>1044</v>
      </c>
    </row>
    <row r="225" spans="1:13" x14ac:dyDescent="0.25">
      <c r="A225">
        <v>224</v>
      </c>
      <c r="B225" s="4">
        <v>45303</v>
      </c>
      <c r="C225" s="4" t="str">
        <f>TEXT(Sales_Data[[#This Row],[Order_Date]],"mmm-yyyy")</f>
        <v>Jan-2024</v>
      </c>
      <c r="D225" s="4" t="str">
        <f>TEXT(Sales_Data[[#This Row],[Order_Date]],"yyy")</f>
        <v>2024</v>
      </c>
      <c r="E225" s="4" t="str">
        <f>TEXT(Sales_Data[[#This Row],[Order_Date]],"mmm")</f>
        <v>Jan</v>
      </c>
      <c r="F225" t="s">
        <v>13</v>
      </c>
      <c r="G225" t="s">
        <v>15</v>
      </c>
      <c r="H225" t="s">
        <v>18</v>
      </c>
      <c r="I225">
        <v>10</v>
      </c>
      <c r="J225">
        <v>2823</v>
      </c>
      <c r="K225">
        <v>0.05</v>
      </c>
      <c r="L225">
        <v>26818.5</v>
      </c>
      <c r="M225">
        <v>1069</v>
      </c>
    </row>
    <row r="226" spans="1:13" x14ac:dyDescent="0.25">
      <c r="A226">
        <v>225</v>
      </c>
      <c r="B226" s="4">
        <v>45453</v>
      </c>
      <c r="C226" s="4" t="str">
        <f>TEXT(Sales_Data[[#This Row],[Order_Date]],"mmm-yyyy")</f>
        <v>Jun-2024</v>
      </c>
      <c r="D226" s="4" t="str">
        <f>TEXT(Sales_Data[[#This Row],[Order_Date]],"yyy")</f>
        <v>2024</v>
      </c>
      <c r="E226" s="4" t="str">
        <f>TEXT(Sales_Data[[#This Row],[Order_Date]],"mmm")</f>
        <v>Jun</v>
      </c>
      <c r="F226" t="s">
        <v>10</v>
      </c>
      <c r="G226" t="s">
        <v>16</v>
      </c>
      <c r="H226" t="s">
        <v>20</v>
      </c>
      <c r="I226">
        <v>3</v>
      </c>
      <c r="J226">
        <v>3906</v>
      </c>
      <c r="K226">
        <v>0.15</v>
      </c>
      <c r="L226">
        <v>9960.2999999999993</v>
      </c>
      <c r="M226">
        <v>1017</v>
      </c>
    </row>
    <row r="227" spans="1:13" x14ac:dyDescent="0.25">
      <c r="A227">
        <v>226</v>
      </c>
      <c r="B227" s="4">
        <v>45303</v>
      </c>
      <c r="C227" s="4" t="str">
        <f>TEXT(Sales_Data[[#This Row],[Order_Date]],"mmm-yyyy")</f>
        <v>Jan-2024</v>
      </c>
      <c r="D227" s="4" t="str">
        <f>TEXT(Sales_Data[[#This Row],[Order_Date]],"yyy")</f>
        <v>2024</v>
      </c>
      <c r="E227" s="4" t="str">
        <f>TEXT(Sales_Data[[#This Row],[Order_Date]],"mmm")</f>
        <v>Jan</v>
      </c>
      <c r="F227" t="s">
        <v>10</v>
      </c>
      <c r="G227" t="s">
        <v>15</v>
      </c>
      <c r="H227" t="s">
        <v>26</v>
      </c>
      <c r="I227">
        <v>1</v>
      </c>
      <c r="J227">
        <v>2503</v>
      </c>
      <c r="K227">
        <v>0.05</v>
      </c>
      <c r="L227">
        <v>2377.85</v>
      </c>
      <c r="M227">
        <v>1005</v>
      </c>
    </row>
    <row r="228" spans="1:13" x14ac:dyDescent="0.25">
      <c r="A228">
        <v>227</v>
      </c>
      <c r="B228" s="4">
        <v>45356</v>
      </c>
      <c r="C228" s="4" t="str">
        <f>TEXT(Sales_Data[[#This Row],[Order_Date]],"mmm-yyyy")</f>
        <v>Mar-2024</v>
      </c>
      <c r="D228" s="4" t="str">
        <f>TEXT(Sales_Data[[#This Row],[Order_Date]],"yyy")</f>
        <v>2024</v>
      </c>
      <c r="E228" s="4" t="str">
        <f>TEXT(Sales_Data[[#This Row],[Order_Date]],"mmm")</f>
        <v>Mar</v>
      </c>
      <c r="F228" t="s">
        <v>11</v>
      </c>
      <c r="G228" t="s">
        <v>16</v>
      </c>
      <c r="H228" t="s">
        <v>21</v>
      </c>
      <c r="I228">
        <v>9</v>
      </c>
      <c r="J228">
        <v>3362</v>
      </c>
      <c r="K228">
        <v>0.15</v>
      </c>
      <c r="L228">
        <v>25719.3</v>
      </c>
      <c r="M228">
        <v>1096</v>
      </c>
    </row>
    <row r="229" spans="1:13" x14ac:dyDescent="0.25">
      <c r="A229">
        <v>228</v>
      </c>
      <c r="B229" s="4">
        <v>45459</v>
      </c>
      <c r="C229" s="4" t="str">
        <f>TEXT(Sales_Data[[#This Row],[Order_Date]],"mmm-yyyy")</f>
        <v>Jun-2024</v>
      </c>
      <c r="D229" s="4" t="str">
        <f>TEXT(Sales_Data[[#This Row],[Order_Date]],"yyy")</f>
        <v>2024</v>
      </c>
      <c r="E229" s="4" t="str">
        <f>TEXT(Sales_Data[[#This Row],[Order_Date]],"mmm")</f>
        <v>Jun</v>
      </c>
      <c r="F229" t="s">
        <v>13</v>
      </c>
      <c r="G229" t="s">
        <v>14</v>
      </c>
      <c r="H229" t="s">
        <v>17</v>
      </c>
      <c r="I229">
        <v>5</v>
      </c>
      <c r="J229">
        <v>3024</v>
      </c>
      <c r="K229">
        <v>0</v>
      </c>
      <c r="L229">
        <v>15120</v>
      </c>
      <c r="M229">
        <v>1034</v>
      </c>
    </row>
    <row r="230" spans="1:13" x14ac:dyDescent="0.25">
      <c r="A230">
        <v>229</v>
      </c>
      <c r="B230" s="4">
        <v>45390</v>
      </c>
      <c r="C230" s="4" t="str">
        <f>TEXT(Sales_Data[[#This Row],[Order_Date]],"mmm-yyyy")</f>
        <v>Apr-2024</v>
      </c>
      <c r="D230" s="4" t="str">
        <f>TEXT(Sales_Data[[#This Row],[Order_Date]],"yyy")</f>
        <v>2024</v>
      </c>
      <c r="E230" s="4" t="str">
        <f>TEXT(Sales_Data[[#This Row],[Order_Date]],"mmm")</f>
        <v>Apr</v>
      </c>
      <c r="F230" t="s">
        <v>13</v>
      </c>
      <c r="G230" t="s">
        <v>15</v>
      </c>
      <c r="H230" t="s">
        <v>25</v>
      </c>
      <c r="I230">
        <v>7</v>
      </c>
      <c r="J230">
        <v>3376</v>
      </c>
      <c r="K230">
        <v>0.15</v>
      </c>
      <c r="L230">
        <v>20087.2</v>
      </c>
      <c r="M230">
        <v>1023</v>
      </c>
    </row>
    <row r="231" spans="1:13" x14ac:dyDescent="0.25">
      <c r="A231">
        <v>230</v>
      </c>
      <c r="B231" s="4">
        <v>45313</v>
      </c>
      <c r="C231" s="4" t="str">
        <f>TEXT(Sales_Data[[#This Row],[Order_Date]],"mmm-yyyy")</f>
        <v>Jan-2024</v>
      </c>
      <c r="D231" s="4" t="str">
        <f>TEXT(Sales_Data[[#This Row],[Order_Date]],"yyy")</f>
        <v>2024</v>
      </c>
      <c r="E231" s="4" t="str">
        <f>TEXT(Sales_Data[[#This Row],[Order_Date]],"mmm")</f>
        <v>Jan</v>
      </c>
      <c r="F231" t="s">
        <v>12</v>
      </c>
      <c r="G231" t="s">
        <v>16</v>
      </c>
      <c r="H231" t="s">
        <v>20</v>
      </c>
      <c r="I231">
        <v>8</v>
      </c>
      <c r="J231">
        <v>3109</v>
      </c>
      <c r="K231">
        <v>0.1</v>
      </c>
      <c r="L231">
        <v>22384.799999999999</v>
      </c>
      <c r="M231">
        <v>1010</v>
      </c>
    </row>
    <row r="232" spans="1:13" x14ac:dyDescent="0.25">
      <c r="A232">
        <v>231</v>
      </c>
      <c r="B232" s="4">
        <v>45374</v>
      </c>
      <c r="C232" s="4" t="str">
        <f>TEXT(Sales_Data[[#This Row],[Order_Date]],"mmm-yyyy")</f>
        <v>Mar-2024</v>
      </c>
      <c r="D232" s="4" t="str">
        <f>TEXT(Sales_Data[[#This Row],[Order_Date]],"yyy")</f>
        <v>2024</v>
      </c>
      <c r="E232" s="4" t="str">
        <f>TEXT(Sales_Data[[#This Row],[Order_Date]],"mmm")</f>
        <v>Mar</v>
      </c>
      <c r="F232" t="s">
        <v>11</v>
      </c>
      <c r="G232" t="s">
        <v>16</v>
      </c>
      <c r="H232" t="s">
        <v>20</v>
      </c>
      <c r="I232">
        <v>3</v>
      </c>
      <c r="J232">
        <v>4568</v>
      </c>
      <c r="K232">
        <v>0.1</v>
      </c>
      <c r="L232">
        <v>12333.6</v>
      </c>
      <c r="M232">
        <v>1010</v>
      </c>
    </row>
    <row r="233" spans="1:13" x14ac:dyDescent="0.25">
      <c r="A233">
        <v>232</v>
      </c>
      <c r="B233" s="4">
        <v>45446</v>
      </c>
      <c r="C233" s="4" t="str">
        <f>TEXT(Sales_Data[[#This Row],[Order_Date]],"mmm-yyyy")</f>
        <v>Jun-2024</v>
      </c>
      <c r="D233" s="4" t="str">
        <f>TEXT(Sales_Data[[#This Row],[Order_Date]],"yyy")</f>
        <v>2024</v>
      </c>
      <c r="E233" s="4" t="str">
        <f>TEXT(Sales_Data[[#This Row],[Order_Date]],"mmm")</f>
        <v>Jun</v>
      </c>
      <c r="F233" t="s">
        <v>12</v>
      </c>
      <c r="G233" t="s">
        <v>16</v>
      </c>
      <c r="H233" t="s">
        <v>20</v>
      </c>
      <c r="I233">
        <v>5</v>
      </c>
      <c r="J233">
        <v>2610</v>
      </c>
      <c r="K233">
        <v>0.15</v>
      </c>
      <c r="L233">
        <v>11092.5</v>
      </c>
      <c r="M233">
        <v>1021</v>
      </c>
    </row>
    <row r="234" spans="1:13" x14ac:dyDescent="0.25">
      <c r="A234">
        <v>233</v>
      </c>
      <c r="B234" s="4">
        <v>45382</v>
      </c>
      <c r="C234" s="4" t="str">
        <f>TEXT(Sales_Data[[#This Row],[Order_Date]],"mmm-yyyy")</f>
        <v>Mar-2024</v>
      </c>
      <c r="D234" s="4" t="str">
        <f>TEXT(Sales_Data[[#This Row],[Order_Date]],"yyy")</f>
        <v>2024</v>
      </c>
      <c r="E234" s="4" t="str">
        <f>TEXT(Sales_Data[[#This Row],[Order_Date]],"mmm")</f>
        <v>Mar</v>
      </c>
      <c r="F234" t="s">
        <v>12</v>
      </c>
      <c r="G234" t="s">
        <v>14</v>
      </c>
      <c r="H234" t="s">
        <v>22</v>
      </c>
      <c r="I234">
        <v>6</v>
      </c>
      <c r="J234">
        <v>3762</v>
      </c>
      <c r="K234">
        <v>0</v>
      </c>
      <c r="L234">
        <v>22572</v>
      </c>
      <c r="M234">
        <v>1035</v>
      </c>
    </row>
    <row r="235" spans="1:13" x14ac:dyDescent="0.25">
      <c r="A235">
        <v>234</v>
      </c>
      <c r="B235" s="4">
        <v>45423</v>
      </c>
      <c r="C235" s="4" t="str">
        <f>TEXT(Sales_Data[[#This Row],[Order_Date]],"mmm-yyyy")</f>
        <v>May-2024</v>
      </c>
      <c r="D235" s="4" t="str">
        <f>TEXT(Sales_Data[[#This Row],[Order_Date]],"yyy")</f>
        <v>2024</v>
      </c>
      <c r="E235" s="4" t="str">
        <f>TEXT(Sales_Data[[#This Row],[Order_Date]],"mmm")</f>
        <v>May</v>
      </c>
      <c r="F235" t="s">
        <v>10</v>
      </c>
      <c r="G235" t="s">
        <v>14</v>
      </c>
      <c r="H235" t="s">
        <v>17</v>
      </c>
      <c r="I235">
        <v>2</v>
      </c>
      <c r="J235">
        <v>3427</v>
      </c>
      <c r="K235">
        <v>0.1</v>
      </c>
      <c r="L235">
        <v>6168.6</v>
      </c>
      <c r="M235">
        <v>1003</v>
      </c>
    </row>
    <row r="236" spans="1:13" x14ac:dyDescent="0.25">
      <c r="A236">
        <v>235</v>
      </c>
      <c r="B236" s="4">
        <v>45352</v>
      </c>
      <c r="C236" s="4" t="str">
        <f>TEXT(Sales_Data[[#This Row],[Order_Date]],"mmm-yyyy")</f>
        <v>Mar-2024</v>
      </c>
      <c r="D236" s="4" t="str">
        <f>TEXT(Sales_Data[[#This Row],[Order_Date]],"yyy")</f>
        <v>2024</v>
      </c>
      <c r="E236" s="4" t="str">
        <f>TEXT(Sales_Data[[#This Row],[Order_Date]],"mmm")</f>
        <v>Mar</v>
      </c>
      <c r="F236" t="s">
        <v>13</v>
      </c>
      <c r="G236" t="s">
        <v>15</v>
      </c>
      <c r="H236" t="s">
        <v>26</v>
      </c>
      <c r="I236">
        <v>1</v>
      </c>
      <c r="J236">
        <v>1134</v>
      </c>
      <c r="K236">
        <v>0</v>
      </c>
      <c r="L236">
        <v>1134</v>
      </c>
      <c r="M236">
        <v>1046</v>
      </c>
    </row>
    <row r="237" spans="1:13" x14ac:dyDescent="0.25">
      <c r="A237">
        <v>236</v>
      </c>
      <c r="B237" s="4">
        <v>45386</v>
      </c>
      <c r="C237" s="4" t="str">
        <f>TEXT(Sales_Data[[#This Row],[Order_Date]],"mmm-yyyy")</f>
        <v>Apr-2024</v>
      </c>
      <c r="D237" s="4" t="str">
        <f>TEXT(Sales_Data[[#This Row],[Order_Date]],"yyy")</f>
        <v>2024</v>
      </c>
      <c r="E237" s="4" t="str">
        <f>TEXT(Sales_Data[[#This Row],[Order_Date]],"mmm")</f>
        <v>Apr</v>
      </c>
      <c r="F237" t="s">
        <v>13</v>
      </c>
      <c r="G237" t="s">
        <v>16</v>
      </c>
      <c r="H237" t="s">
        <v>20</v>
      </c>
      <c r="I237">
        <v>1</v>
      </c>
      <c r="J237">
        <v>1356</v>
      </c>
      <c r="K237">
        <v>0.15</v>
      </c>
      <c r="L237">
        <v>1152.5999999999999</v>
      </c>
      <c r="M237">
        <v>1056</v>
      </c>
    </row>
    <row r="238" spans="1:13" x14ac:dyDescent="0.25">
      <c r="A238">
        <v>237</v>
      </c>
      <c r="B238" s="4">
        <v>45372</v>
      </c>
      <c r="C238" s="4" t="str">
        <f>TEXT(Sales_Data[[#This Row],[Order_Date]],"mmm-yyyy")</f>
        <v>Mar-2024</v>
      </c>
      <c r="D238" s="4" t="str">
        <f>TEXT(Sales_Data[[#This Row],[Order_Date]],"yyy")</f>
        <v>2024</v>
      </c>
      <c r="E238" s="4" t="str">
        <f>TEXT(Sales_Data[[#This Row],[Order_Date]],"mmm")</f>
        <v>Mar</v>
      </c>
      <c r="F238" t="s">
        <v>13</v>
      </c>
      <c r="G238" t="s">
        <v>15</v>
      </c>
      <c r="H238" t="s">
        <v>24</v>
      </c>
      <c r="I238">
        <v>9</v>
      </c>
      <c r="J238">
        <v>3106</v>
      </c>
      <c r="K238">
        <v>0.15</v>
      </c>
      <c r="L238">
        <v>23760.9</v>
      </c>
      <c r="M238">
        <v>1031</v>
      </c>
    </row>
    <row r="239" spans="1:13" x14ac:dyDescent="0.25">
      <c r="A239">
        <v>238</v>
      </c>
      <c r="B239" s="4">
        <v>45435</v>
      </c>
      <c r="C239" s="4" t="str">
        <f>TEXT(Sales_Data[[#This Row],[Order_Date]],"mmm-yyyy")</f>
        <v>May-2024</v>
      </c>
      <c r="D239" s="4" t="str">
        <f>TEXT(Sales_Data[[#This Row],[Order_Date]],"yyy")</f>
        <v>2024</v>
      </c>
      <c r="E239" s="4" t="str">
        <f>TEXT(Sales_Data[[#This Row],[Order_Date]],"mmm")</f>
        <v>May</v>
      </c>
      <c r="F239" t="s">
        <v>11</v>
      </c>
      <c r="G239" t="s">
        <v>15</v>
      </c>
      <c r="H239" t="s">
        <v>18</v>
      </c>
      <c r="I239">
        <v>3</v>
      </c>
      <c r="J239">
        <v>4188</v>
      </c>
      <c r="K239">
        <v>0.15</v>
      </c>
      <c r="L239">
        <v>10679.4</v>
      </c>
      <c r="M239">
        <v>1033</v>
      </c>
    </row>
    <row r="240" spans="1:13" x14ac:dyDescent="0.25">
      <c r="A240">
        <v>239</v>
      </c>
      <c r="B240" s="4">
        <v>45469</v>
      </c>
      <c r="C240" s="4" t="str">
        <f>TEXT(Sales_Data[[#This Row],[Order_Date]],"mmm-yyyy")</f>
        <v>Jun-2024</v>
      </c>
      <c r="D240" s="4" t="str">
        <f>TEXT(Sales_Data[[#This Row],[Order_Date]],"yyy")</f>
        <v>2024</v>
      </c>
      <c r="E240" s="4" t="str">
        <f>TEXT(Sales_Data[[#This Row],[Order_Date]],"mmm")</f>
        <v>Jun</v>
      </c>
      <c r="F240" t="s">
        <v>12</v>
      </c>
      <c r="G240" t="s">
        <v>16</v>
      </c>
      <c r="H240" t="s">
        <v>20</v>
      </c>
      <c r="I240">
        <v>8</v>
      </c>
      <c r="J240">
        <v>1857</v>
      </c>
      <c r="K240">
        <v>0.1</v>
      </c>
      <c r="L240">
        <v>13370.4</v>
      </c>
      <c r="M240">
        <v>1025</v>
      </c>
    </row>
    <row r="241" spans="1:13" x14ac:dyDescent="0.25">
      <c r="A241">
        <v>240</v>
      </c>
      <c r="B241" s="4">
        <v>45405</v>
      </c>
      <c r="C241" s="4" t="str">
        <f>TEXT(Sales_Data[[#This Row],[Order_Date]],"mmm-yyyy")</f>
        <v>Apr-2024</v>
      </c>
      <c r="D241" s="4" t="str">
        <f>TEXT(Sales_Data[[#This Row],[Order_Date]],"yyy")</f>
        <v>2024</v>
      </c>
      <c r="E241" s="4" t="str">
        <f>TEXT(Sales_Data[[#This Row],[Order_Date]],"mmm")</f>
        <v>Apr</v>
      </c>
      <c r="F241" t="s">
        <v>11</v>
      </c>
      <c r="G241" t="s">
        <v>15</v>
      </c>
      <c r="H241" t="s">
        <v>24</v>
      </c>
      <c r="I241">
        <v>2</v>
      </c>
      <c r="J241">
        <v>3803</v>
      </c>
      <c r="K241">
        <v>0.05</v>
      </c>
      <c r="L241">
        <v>7225.7</v>
      </c>
      <c r="M241">
        <v>1087</v>
      </c>
    </row>
    <row r="242" spans="1:13" x14ac:dyDescent="0.25">
      <c r="A242">
        <v>241</v>
      </c>
      <c r="B242" s="4">
        <v>45368</v>
      </c>
      <c r="C242" s="4" t="str">
        <f>TEXT(Sales_Data[[#This Row],[Order_Date]],"mmm-yyyy")</f>
        <v>Mar-2024</v>
      </c>
      <c r="D242" s="4" t="str">
        <f>TEXT(Sales_Data[[#This Row],[Order_Date]],"yyy")</f>
        <v>2024</v>
      </c>
      <c r="E242" s="4" t="str">
        <f>TEXT(Sales_Data[[#This Row],[Order_Date]],"mmm")</f>
        <v>Mar</v>
      </c>
      <c r="F242" t="s">
        <v>10</v>
      </c>
      <c r="G242" t="s">
        <v>16</v>
      </c>
      <c r="H242" t="s">
        <v>20</v>
      </c>
      <c r="I242">
        <v>6</v>
      </c>
      <c r="J242">
        <v>631</v>
      </c>
      <c r="K242">
        <v>0.1</v>
      </c>
      <c r="L242">
        <v>3407.4</v>
      </c>
      <c r="M242">
        <v>1091</v>
      </c>
    </row>
    <row r="243" spans="1:13" x14ac:dyDescent="0.25">
      <c r="A243">
        <v>242</v>
      </c>
      <c r="B243" s="4">
        <v>45323</v>
      </c>
      <c r="C243" s="4" t="str">
        <f>TEXT(Sales_Data[[#This Row],[Order_Date]],"mmm-yyyy")</f>
        <v>Feb-2024</v>
      </c>
      <c r="D243" s="4" t="str">
        <f>TEXT(Sales_Data[[#This Row],[Order_Date]],"yyy")</f>
        <v>2024</v>
      </c>
      <c r="E243" s="4" t="str">
        <f>TEXT(Sales_Data[[#This Row],[Order_Date]],"mmm")</f>
        <v>Feb</v>
      </c>
      <c r="F243" t="s">
        <v>10</v>
      </c>
      <c r="G243" t="s">
        <v>14</v>
      </c>
      <c r="H243" t="s">
        <v>23</v>
      </c>
      <c r="I243">
        <v>3</v>
      </c>
      <c r="J243">
        <v>3061</v>
      </c>
      <c r="K243">
        <v>0.05</v>
      </c>
      <c r="L243">
        <v>8723.85</v>
      </c>
      <c r="M243">
        <v>1017</v>
      </c>
    </row>
    <row r="244" spans="1:13" x14ac:dyDescent="0.25">
      <c r="A244">
        <v>243</v>
      </c>
      <c r="B244" s="4">
        <v>45411</v>
      </c>
      <c r="C244" s="4" t="str">
        <f>TEXT(Sales_Data[[#This Row],[Order_Date]],"mmm-yyyy")</f>
        <v>Apr-2024</v>
      </c>
      <c r="D244" s="4" t="str">
        <f>TEXT(Sales_Data[[#This Row],[Order_Date]],"yyy")</f>
        <v>2024</v>
      </c>
      <c r="E244" s="4" t="str">
        <f>TEXT(Sales_Data[[#This Row],[Order_Date]],"mmm")</f>
        <v>Apr</v>
      </c>
      <c r="F244" t="s">
        <v>10</v>
      </c>
      <c r="G244" t="s">
        <v>15</v>
      </c>
      <c r="H244" t="s">
        <v>26</v>
      </c>
      <c r="I244">
        <v>1</v>
      </c>
      <c r="J244">
        <v>3056</v>
      </c>
      <c r="K244">
        <v>0.1</v>
      </c>
      <c r="L244">
        <v>2750.4</v>
      </c>
      <c r="M244">
        <v>1078</v>
      </c>
    </row>
    <row r="245" spans="1:13" x14ac:dyDescent="0.25">
      <c r="A245">
        <v>244</v>
      </c>
      <c r="B245" s="4">
        <v>45426</v>
      </c>
      <c r="C245" s="4" t="str">
        <f>TEXT(Sales_Data[[#This Row],[Order_Date]],"mmm-yyyy")</f>
        <v>May-2024</v>
      </c>
      <c r="D245" s="4" t="str">
        <f>TEXT(Sales_Data[[#This Row],[Order_Date]],"yyy")</f>
        <v>2024</v>
      </c>
      <c r="E245" s="4" t="str">
        <f>TEXT(Sales_Data[[#This Row],[Order_Date]],"mmm")</f>
        <v>May</v>
      </c>
      <c r="F245" t="s">
        <v>12</v>
      </c>
      <c r="G245" t="s">
        <v>15</v>
      </c>
      <c r="H245" t="s">
        <v>18</v>
      </c>
      <c r="I245">
        <v>5</v>
      </c>
      <c r="J245">
        <v>3361</v>
      </c>
      <c r="K245">
        <v>0.15</v>
      </c>
      <c r="L245">
        <v>14284.25</v>
      </c>
      <c r="M245">
        <v>1098</v>
      </c>
    </row>
    <row r="246" spans="1:13" x14ac:dyDescent="0.25">
      <c r="A246">
        <v>245</v>
      </c>
      <c r="B246" s="4">
        <v>45456</v>
      </c>
      <c r="C246" s="4" t="str">
        <f>TEXT(Sales_Data[[#This Row],[Order_Date]],"mmm-yyyy")</f>
        <v>Jun-2024</v>
      </c>
      <c r="D246" s="4" t="str">
        <f>TEXT(Sales_Data[[#This Row],[Order_Date]],"yyy")</f>
        <v>2024</v>
      </c>
      <c r="E246" s="4" t="str">
        <f>TEXT(Sales_Data[[#This Row],[Order_Date]],"mmm")</f>
        <v>Jun</v>
      </c>
      <c r="F246" t="s">
        <v>11</v>
      </c>
      <c r="G246" t="s">
        <v>16</v>
      </c>
      <c r="H246" t="s">
        <v>20</v>
      </c>
      <c r="I246">
        <v>2</v>
      </c>
      <c r="J246">
        <v>1126</v>
      </c>
      <c r="K246">
        <v>0.1</v>
      </c>
      <c r="L246">
        <v>2026.8</v>
      </c>
      <c r="M246">
        <v>1057</v>
      </c>
    </row>
    <row r="247" spans="1:13" x14ac:dyDescent="0.25">
      <c r="A247">
        <v>246</v>
      </c>
      <c r="B247" s="4">
        <v>45433</v>
      </c>
      <c r="C247" s="4" t="str">
        <f>TEXT(Sales_Data[[#This Row],[Order_Date]],"mmm-yyyy")</f>
        <v>May-2024</v>
      </c>
      <c r="D247" s="4" t="str">
        <f>TEXT(Sales_Data[[#This Row],[Order_Date]],"yyy")</f>
        <v>2024</v>
      </c>
      <c r="E247" s="4" t="str">
        <f>TEXT(Sales_Data[[#This Row],[Order_Date]],"mmm")</f>
        <v>May</v>
      </c>
      <c r="F247" t="s">
        <v>10</v>
      </c>
      <c r="G247" t="s">
        <v>16</v>
      </c>
      <c r="H247" t="s">
        <v>20</v>
      </c>
      <c r="I247">
        <v>9</v>
      </c>
      <c r="J247">
        <v>2922</v>
      </c>
      <c r="K247">
        <v>0.05</v>
      </c>
      <c r="L247">
        <v>24983.1</v>
      </c>
      <c r="M247">
        <v>1098</v>
      </c>
    </row>
    <row r="248" spans="1:13" x14ac:dyDescent="0.25">
      <c r="A248">
        <v>247</v>
      </c>
      <c r="B248" s="4">
        <v>45424</v>
      </c>
      <c r="C248" s="4" t="str">
        <f>TEXT(Sales_Data[[#This Row],[Order_Date]],"mmm-yyyy")</f>
        <v>May-2024</v>
      </c>
      <c r="D248" s="4" t="str">
        <f>TEXT(Sales_Data[[#This Row],[Order_Date]],"yyy")</f>
        <v>2024</v>
      </c>
      <c r="E248" s="4" t="str">
        <f>TEXT(Sales_Data[[#This Row],[Order_Date]],"mmm")</f>
        <v>May</v>
      </c>
      <c r="F248" t="s">
        <v>10</v>
      </c>
      <c r="G248" t="s">
        <v>15</v>
      </c>
      <c r="H248" t="s">
        <v>26</v>
      </c>
      <c r="I248">
        <v>9</v>
      </c>
      <c r="J248">
        <v>553</v>
      </c>
      <c r="K248">
        <v>0</v>
      </c>
      <c r="L248">
        <v>4977</v>
      </c>
      <c r="M248">
        <v>1038</v>
      </c>
    </row>
    <row r="249" spans="1:13" x14ac:dyDescent="0.25">
      <c r="A249">
        <v>248</v>
      </c>
      <c r="B249" s="4">
        <v>45424</v>
      </c>
      <c r="C249" s="4" t="str">
        <f>TEXT(Sales_Data[[#This Row],[Order_Date]],"mmm-yyyy")</f>
        <v>May-2024</v>
      </c>
      <c r="D249" s="4" t="str">
        <f>TEXT(Sales_Data[[#This Row],[Order_Date]],"yyy")</f>
        <v>2024</v>
      </c>
      <c r="E249" s="4" t="str">
        <f>TEXT(Sales_Data[[#This Row],[Order_Date]],"mmm")</f>
        <v>May</v>
      </c>
      <c r="F249" t="s">
        <v>13</v>
      </c>
      <c r="G249" t="s">
        <v>15</v>
      </c>
      <c r="H249" t="s">
        <v>24</v>
      </c>
      <c r="I249">
        <v>6</v>
      </c>
      <c r="J249">
        <v>1947</v>
      </c>
      <c r="K249">
        <v>0.1</v>
      </c>
      <c r="L249">
        <v>10513.8</v>
      </c>
      <c r="M249">
        <v>1010</v>
      </c>
    </row>
    <row r="250" spans="1:13" x14ac:dyDescent="0.25">
      <c r="A250">
        <v>249</v>
      </c>
      <c r="B250" s="4">
        <v>45452</v>
      </c>
      <c r="C250" s="4" t="str">
        <f>TEXT(Sales_Data[[#This Row],[Order_Date]],"mmm-yyyy")</f>
        <v>Jun-2024</v>
      </c>
      <c r="D250" s="4" t="str">
        <f>TEXT(Sales_Data[[#This Row],[Order_Date]],"yyy")</f>
        <v>2024</v>
      </c>
      <c r="E250" s="4" t="str">
        <f>TEXT(Sales_Data[[#This Row],[Order_Date]],"mmm")</f>
        <v>Jun</v>
      </c>
      <c r="F250" t="s">
        <v>13</v>
      </c>
      <c r="G250" t="s">
        <v>16</v>
      </c>
      <c r="H250" t="s">
        <v>19</v>
      </c>
      <c r="I250">
        <v>9</v>
      </c>
      <c r="J250">
        <v>2348</v>
      </c>
      <c r="K250">
        <v>0.05</v>
      </c>
      <c r="L250">
        <v>20075.400000000001</v>
      </c>
      <c r="M250">
        <v>1078</v>
      </c>
    </row>
    <row r="251" spans="1:13" x14ac:dyDescent="0.25">
      <c r="A251">
        <v>250</v>
      </c>
      <c r="B251" s="4">
        <v>45335</v>
      </c>
      <c r="C251" s="4" t="str">
        <f>TEXT(Sales_Data[[#This Row],[Order_Date]],"mmm-yyyy")</f>
        <v>Feb-2024</v>
      </c>
      <c r="D251" s="4" t="str">
        <f>TEXT(Sales_Data[[#This Row],[Order_Date]],"yyy")</f>
        <v>2024</v>
      </c>
      <c r="E251" s="4" t="str">
        <f>TEXT(Sales_Data[[#This Row],[Order_Date]],"mmm")</f>
        <v>Feb</v>
      </c>
      <c r="F251" t="s">
        <v>13</v>
      </c>
      <c r="G251" t="s">
        <v>14</v>
      </c>
      <c r="H251" t="s">
        <v>17</v>
      </c>
      <c r="I251">
        <v>9</v>
      </c>
      <c r="J251">
        <v>1481</v>
      </c>
      <c r="K251">
        <v>0.05</v>
      </c>
      <c r="L251">
        <v>12662.55</v>
      </c>
      <c r="M251">
        <v>1072</v>
      </c>
    </row>
    <row r="252" spans="1:13" x14ac:dyDescent="0.25">
      <c r="A252">
        <v>251</v>
      </c>
      <c r="B252" s="4">
        <v>45458</v>
      </c>
      <c r="C252" s="4" t="str">
        <f>TEXT(Sales_Data[[#This Row],[Order_Date]],"mmm-yyyy")</f>
        <v>Jun-2024</v>
      </c>
      <c r="D252" s="4" t="str">
        <f>TEXT(Sales_Data[[#This Row],[Order_Date]],"yyy")</f>
        <v>2024</v>
      </c>
      <c r="E252" s="4" t="str">
        <f>TEXT(Sales_Data[[#This Row],[Order_Date]],"mmm")</f>
        <v>Jun</v>
      </c>
      <c r="F252" t="s">
        <v>10</v>
      </c>
      <c r="G252" t="s">
        <v>15</v>
      </c>
      <c r="H252" t="s">
        <v>18</v>
      </c>
      <c r="I252">
        <v>2</v>
      </c>
      <c r="J252">
        <v>472</v>
      </c>
      <c r="K252">
        <v>0.1</v>
      </c>
      <c r="L252">
        <v>849.6</v>
      </c>
      <c r="M252">
        <v>1098</v>
      </c>
    </row>
    <row r="253" spans="1:13" x14ac:dyDescent="0.25">
      <c r="A253">
        <v>252</v>
      </c>
      <c r="B253" s="4">
        <v>45452</v>
      </c>
      <c r="C253" s="4" t="str">
        <f>TEXT(Sales_Data[[#This Row],[Order_Date]],"mmm-yyyy")</f>
        <v>Jun-2024</v>
      </c>
      <c r="D253" s="4" t="str">
        <f>TEXT(Sales_Data[[#This Row],[Order_Date]],"yyy")</f>
        <v>2024</v>
      </c>
      <c r="E253" s="4" t="str">
        <f>TEXT(Sales_Data[[#This Row],[Order_Date]],"mmm")</f>
        <v>Jun</v>
      </c>
      <c r="F253" t="s">
        <v>13</v>
      </c>
      <c r="G253" t="s">
        <v>14</v>
      </c>
      <c r="H253" t="s">
        <v>22</v>
      </c>
      <c r="I253">
        <v>10</v>
      </c>
      <c r="J253">
        <v>348</v>
      </c>
      <c r="K253">
        <v>0.15</v>
      </c>
      <c r="L253">
        <v>2958</v>
      </c>
      <c r="M253">
        <v>1082</v>
      </c>
    </row>
    <row r="254" spans="1:13" x14ac:dyDescent="0.25">
      <c r="A254">
        <v>253</v>
      </c>
      <c r="B254" s="4">
        <v>45408</v>
      </c>
      <c r="C254" s="4" t="str">
        <f>TEXT(Sales_Data[[#This Row],[Order_Date]],"mmm-yyyy")</f>
        <v>Apr-2024</v>
      </c>
      <c r="D254" s="4" t="str">
        <f>TEXT(Sales_Data[[#This Row],[Order_Date]],"yyy")</f>
        <v>2024</v>
      </c>
      <c r="E254" s="4" t="str">
        <f>TEXT(Sales_Data[[#This Row],[Order_Date]],"mmm")</f>
        <v>Apr</v>
      </c>
      <c r="F254" t="s">
        <v>11</v>
      </c>
      <c r="G254" t="s">
        <v>16</v>
      </c>
      <c r="H254" t="s">
        <v>21</v>
      </c>
      <c r="I254">
        <v>4</v>
      </c>
      <c r="J254">
        <v>3426</v>
      </c>
      <c r="K254">
        <v>0.1</v>
      </c>
      <c r="L254">
        <v>12333.6</v>
      </c>
      <c r="M254">
        <v>1088</v>
      </c>
    </row>
    <row r="255" spans="1:13" x14ac:dyDescent="0.25">
      <c r="A255">
        <v>254</v>
      </c>
      <c r="B255" s="4">
        <v>45410</v>
      </c>
      <c r="C255" s="4" t="str">
        <f>TEXT(Sales_Data[[#This Row],[Order_Date]],"mmm-yyyy")</f>
        <v>Apr-2024</v>
      </c>
      <c r="D255" s="4" t="str">
        <f>TEXT(Sales_Data[[#This Row],[Order_Date]],"yyy")</f>
        <v>2024</v>
      </c>
      <c r="E255" s="4" t="str">
        <f>TEXT(Sales_Data[[#This Row],[Order_Date]],"mmm")</f>
        <v>Apr</v>
      </c>
      <c r="F255" t="s">
        <v>10</v>
      </c>
      <c r="G255" t="s">
        <v>15</v>
      </c>
      <c r="H255" t="s">
        <v>24</v>
      </c>
      <c r="I255">
        <v>8</v>
      </c>
      <c r="J255">
        <v>3504</v>
      </c>
      <c r="K255">
        <v>0.15</v>
      </c>
      <c r="L255">
        <v>23827.200000000001</v>
      </c>
      <c r="M255">
        <v>1043</v>
      </c>
    </row>
    <row r="256" spans="1:13" x14ac:dyDescent="0.25">
      <c r="A256">
        <v>255</v>
      </c>
      <c r="B256" s="4">
        <v>45394</v>
      </c>
      <c r="C256" s="4" t="str">
        <f>TEXT(Sales_Data[[#This Row],[Order_Date]],"mmm-yyyy")</f>
        <v>Apr-2024</v>
      </c>
      <c r="D256" s="4" t="str">
        <f>TEXT(Sales_Data[[#This Row],[Order_Date]],"yyy")</f>
        <v>2024</v>
      </c>
      <c r="E256" s="4" t="str">
        <f>TEXT(Sales_Data[[#This Row],[Order_Date]],"mmm")</f>
        <v>Apr</v>
      </c>
      <c r="F256" t="s">
        <v>10</v>
      </c>
      <c r="G256" t="s">
        <v>14</v>
      </c>
      <c r="H256" t="s">
        <v>17</v>
      </c>
      <c r="I256">
        <v>6</v>
      </c>
      <c r="J256">
        <v>2715</v>
      </c>
      <c r="K256">
        <v>0.1</v>
      </c>
      <c r="L256">
        <v>14661</v>
      </c>
      <c r="M256">
        <v>1097</v>
      </c>
    </row>
    <row r="257" spans="1:13" x14ac:dyDescent="0.25">
      <c r="A257">
        <v>256</v>
      </c>
      <c r="B257" s="4">
        <v>45353</v>
      </c>
      <c r="C257" s="4" t="str">
        <f>TEXT(Sales_Data[[#This Row],[Order_Date]],"mmm-yyyy")</f>
        <v>Mar-2024</v>
      </c>
      <c r="D257" s="4" t="str">
        <f>TEXT(Sales_Data[[#This Row],[Order_Date]],"yyy")</f>
        <v>2024</v>
      </c>
      <c r="E257" s="4" t="str">
        <f>TEXT(Sales_Data[[#This Row],[Order_Date]],"mmm")</f>
        <v>Mar</v>
      </c>
      <c r="F257" t="s">
        <v>12</v>
      </c>
      <c r="G257" t="s">
        <v>16</v>
      </c>
      <c r="H257" t="s">
        <v>20</v>
      </c>
      <c r="I257">
        <v>9</v>
      </c>
      <c r="J257">
        <v>969</v>
      </c>
      <c r="K257">
        <v>0.1</v>
      </c>
      <c r="L257">
        <v>7848.9</v>
      </c>
      <c r="M257">
        <v>1015</v>
      </c>
    </row>
    <row r="258" spans="1:13" x14ac:dyDescent="0.25">
      <c r="A258">
        <v>257</v>
      </c>
      <c r="B258" s="4">
        <v>45304</v>
      </c>
      <c r="C258" s="4" t="str">
        <f>TEXT(Sales_Data[[#This Row],[Order_Date]],"mmm-yyyy")</f>
        <v>Jan-2024</v>
      </c>
      <c r="D258" s="4" t="str">
        <f>TEXT(Sales_Data[[#This Row],[Order_Date]],"yyy")</f>
        <v>2024</v>
      </c>
      <c r="E258" s="4" t="str">
        <f>TEXT(Sales_Data[[#This Row],[Order_Date]],"mmm")</f>
        <v>Jan</v>
      </c>
      <c r="F258" t="s">
        <v>13</v>
      </c>
      <c r="G258" t="s">
        <v>16</v>
      </c>
      <c r="H258" t="s">
        <v>21</v>
      </c>
      <c r="I258">
        <v>4</v>
      </c>
      <c r="J258">
        <v>1254</v>
      </c>
      <c r="K258">
        <v>0</v>
      </c>
      <c r="L258">
        <v>5016</v>
      </c>
      <c r="M258">
        <v>1049</v>
      </c>
    </row>
    <row r="259" spans="1:13" x14ac:dyDescent="0.25">
      <c r="A259">
        <v>258</v>
      </c>
      <c r="B259" s="4">
        <v>45439</v>
      </c>
      <c r="C259" s="4" t="str">
        <f>TEXT(Sales_Data[[#This Row],[Order_Date]],"mmm-yyyy")</f>
        <v>May-2024</v>
      </c>
      <c r="D259" s="4" t="str">
        <f>TEXT(Sales_Data[[#This Row],[Order_Date]],"yyy")</f>
        <v>2024</v>
      </c>
      <c r="E259" s="4" t="str">
        <f>TEXT(Sales_Data[[#This Row],[Order_Date]],"mmm")</f>
        <v>May</v>
      </c>
      <c r="F259" t="s">
        <v>13</v>
      </c>
      <c r="G259" t="s">
        <v>14</v>
      </c>
      <c r="H259" t="s">
        <v>22</v>
      </c>
      <c r="I259">
        <v>4</v>
      </c>
      <c r="J259">
        <v>1408</v>
      </c>
      <c r="K259">
        <v>0.1</v>
      </c>
      <c r="L259">
        <v>5068.8</v>
      </c>
      <c r="M259">
        <v>1024</v>
      </c>
    </row>
    <row r="260" spans="1:13" x14ac:dyDescent="0.25">
      <c r="A260">
        <v>259</v>
      </c>
      <c r="B260" s="4">
        <v>45370</v>
      </c>
      <c r="C260" s="4" t="str">
        <f>TEXT(Sales_Data[[#This Row],[Order_Date]],"mmm-yyyy")</f>
        <v>Mar-2024</v>
      </c>
      <c r="D260" s="4" t="str">
        <f>TEXT(Sales_Data[[#This Row],[Order_Date]],"yyy")</f>
        <v>2024</v>
      </c>
      <c r="E260" s="4" t="str">
        <f>TEXT(Sales_Data[[#This Row],[Order_Date]],"mmm")</f>
        <v>Mar</v>
      </c>
      <c r="F260" t="s">
        <v>12</v>
      </c>
      <c r="G260" t="s">
        <v>15</v>
      </c>
      <c r="H260" t="s">
        <v>26</v>
      </c>
      <c r="I260">
        <v>9</v>
      </c>
      <c r="J260">
        <v>3924</v>
      </c>
      <c r="K260">
        <v>0.15</v>
      </c>
      <c r="L260">
        <v>30018.6</v>
      </c>
      <c r="M260">
        <v>1002</v>
      </c>
    </row>
    <row r="261" spans="1:13" x14ac:dyDescent="0.25">
      <c r="A261">
        <v>260</v>
      </c>
      <c r="B261" s="4">
        <v>45347</v>
      </c>
      <c r="C261" s="4" t="str">
        <f>TEXT(Sales_Data[[#This Row],[Order_Date]],"mmm-yyyy")</f>
        <v>Feb-2024</v>
      </c>
      <c r="D261" s="4" t="str">
        <f>TEXT(Sales_Data[[#This Row],[Order_Date]],"yyy")</f>
        <v>2024</v>
      </c>
      <c r="E261" s="4" t="str">
        <f>TEXT(Sales_Data[[#This Row],[Order_Date]],"mmm")</f>
        <v>Feb</v>
      </c>
      <c r="F261" t="s">
        <v>13</v>
      </c>
      <c r="G261" t="s">
        <v>15</v>
      </c>
      <c r="H261" t="s">
        <v>26</v>
      </c>
      <c r="I261">
        <v>9</v>
      </c>
      <c r="J261">
        <v>3845</v>
      </c>
      <c r="K261">
        <v>0.05</v>
      </c>
      <c r="L261">
        <v>32874.75</v>
      </c>
      <c r="M261">
        <v>1006</v>
      </c>
    </row>
    <row r="262" spans="1:13" x14ac:dyDescent="0.25">
      <c r="A262">
        <v>261</v>
      </c>
      <c r="B262" s="4">
        <v>45365</v>
      </c>
      <c r="C262" s="4" t="str">
        <f>TEXT(Sales_Data[[#This Row],[Order_Date]],"mmm-yyyy")</f>
        <v>Mar-2024</v>
      </c>
      <c r="D262" s="4" t="str">
        <f>TEXT(Sales_Data[[#This Row],[Order_Date]],"yyy")</f>
        <v>2024</v>
      </c>
      <c r="E262" s="4" t="str">
        <f>TEXT(Sales_Data[[#This Row],[Order_Date]],"mmm")</f>
        <v>Mar</v>
      </c>
      <c r="F262" t="s">
        <v>11</v>
      </c>
      <c r="G262" t="s">
        <v>15</v>
      </c>
      <c r="H262" t="s">
        <v>25</v>
      </c>
      <c r="I262">
        <v>8</v>
      </c>
      <c r="J262">
        <v>4994</v>
      </c>
      <c r="K262">
        <v>0.15</v>
      </c>
      <c r="L262">
        <v>33959.199999999997</v>
      </c>
      <c r="M262">
        <v>1013</v>
      </c>
    </row>
    <row r="263" spans="1:13" x14ac:dyDescent="0.25">
      <c r="A263">
        <v>262</v>
      </c>
      <c r="B263" s="4">
        <v>45385</v>
      </c>
      <c r="C263" s="4" t="str">
        <f>TEXT(Sales_Data[[#This Row],[Order_Date]],"mmm-yyyy")</f>
        <v>Apr-2024</v>
      </c>
      <c r="D263" s="4" t="str">
        <f>TEXT(Sales_Data[[#This Row],[Order_Date]],"yyy")</f>
        <v>2024</v>
      </c>
      <c r="E263" s="4" t="str">
        <f>TEXT(Sales_Data[[#This Row],[Order_Date]],"mmm")</f>
        <v>Apr</v>
      </c>
      <c r="F263" t="s">
        <v>11</v>
      </c>
      <c r="G263" t="s">
        <v>16</v>
      </c>
      <c r="H263" t="s">
        <v>19</v>
      </c>
      <c r="I263">
        <v>5</v>
      </c>
      <c r="J263">
        <v>3096</v>
      </c>
      <c r="K263">
        <v>0.15</v>
      </c>
      <c r="L263">
        <v>13158</v>
      </c>
      <c r="M263">
        <v>1051</v>
      </c>
    </row>
    <row r="264" spans="1:13" x14ac:dyDescent="0.25">
      <c r="A264">
        <v>263</v>
      </c>
      <c r="B264" s="4">
        <v>45310</v>
      </c>
      <c r="C264" s="4" t="str">
        <f>TEXT(Sales_Data[[#This Row],[Order_Date]],"mmm-yyyy")</f>
        <v>Jan-2024</v>
      </c>
      <c r="D264" s="4" t="str">
        <f>TEXT(Sales_Data[[#This Row],[Order_Date]],"yyy")</f>
        <v>2024</v>
      </c>
      <c r="E264" s="4" t="str">
        <f>TEXT(Sales_Data[[#This Row],[Order_Date]],"mmm")</f>
        <v>Jan</v>
      </c>
      <c r="F264" t="s">
        <v>12</v>
      </c>
      <c r="G264" t="s">
        <v>15</v>
      </c>
      <c r="H264" t="s">
        <v>24</v>
      </c>
      <c r="I264">
        <v>6</v>
      </c>
      <c r="J264">
        <v>4632</v>
      </c>
      <c r="K264">
        <v>0.1</v>
      </c>
      <c r="L264">
        <v>25012.799999999999</v>
      </c>
      <c r="M264">
        <v>1064</v>
      </c>
    </row>
    <row r="265" spans="1:13" x14ac:dyDescent="0.25">
      <c r="A265">
        <v>264</v>
      </c>
      <c r="B265" s="4">
        <v>45316</v>
      </c>
      <c r="C265" s="4" t="str">
        <f>TEXT(Sales_Data[[#This Row],[Order_Date]],"mmm-yyyy")</f>
        <v>Jan-2024</v>
      </c>
      <c r="D265" s="4" t="str">
        <f>TEXT(Sales_Data[[#This Row],[Order_Date]],"yyy")</f>
        <v>2024</v>
      </c>
      <c r="E265" s="4" t="str">
        <f>TEXT(Sales_Data[[#This Row],[Order_Date]],"mmm")</f>
        <v>Jan</v>
      </c>
      <c r="F265" t="s">
        <v>12</v>
      </c>
      <c r="G265" t="s">
        <v>16</v>
      </c>
      <c r="H265" t="s">
        <v>20</v>
      </c>
      <c r="I265">
        <v>5</v>
      </c>
      <c r="J265">
        <v>1073</v>
      </c>
      <c r="K265">
        <v>0.05</v>
      </c>
      <c r="L265">
        <v>5096.75</v>
      </c>
      <c r="M265">
        <v>1047</v>
      </c>
    </row>
    <row r="266" spans="1:13" x14ac:dyDescent="0.25">
      <c r="A266">
        <v>265</v>
      </c>
      <c r="B266" s="4">
        <v>45446</v>
      </c>
      <c r="C266" s="4" t="str">
        <f>TEXT(Sales_Data[[#This Row],[Order_Date]],"mmm-yyyy")</f>
        <v>Jun-2024</v>
      </c>
      <c r="D266" s="4" t="str">
        <f>TEXT(Sales_Data[[#This Row],[Order_Date]],"yyy")</f>
        <v>2024</v>
      </c>
      <c r="E266" s="4" t="str">
        <f>TEXT(Sales_Data[[#This Row],[Order_Date]],"mmm")</f>
        <v>Jun</v>
      </c>
      <c r="F266" t="s">
        <v>12</v>
      </c>
      <c r="G266" t="s">
        <v>16</v>
      </c>
      <c r="H266" t="s">
        <v>20</v>
      </c>
      <c r="I266">
        <v>6</v>
      </c>
      <c r="J266">
        <v>1281</v>
      </c>
      <c r="K266">
        <v>0.05</v>
      </c>
      <c r="L266">
        <v>7301.7</v>
      </c>
      <c r="M266">
        <v>1064</v>
      </c>
    </row>
    <row r="267" spans="1:13" x14ac:dyDescent="0.25">
      <c r="A267">
        <v>266</v>
      </c>
      <c r="B267" s="4">
        <v>45413</v>
      </c>
      <c r="C267" s="4" t="str">
        <f>TEXT(Sales_Data[[#This Row],[Order_Date]],"mmm-yyyy")</f>
        <v>May-2024</v>
      </c>
      <c r="D267" s="4" t="str">
        <f>TEXT(Sales_Data[[#This Row],[Order_Date]],"yyy")</f>
        <v>2024</v>
      </c>
      <c r="E267" s="4" t="str">
        <f>TEXT(Sales_Data[[#This Row],[Order_Date]],"mmm")</f>
        <v>May</v>
      </c>
      <c r="F267" t="s">
        <v>12</v>
      </c>
      <c r="G267" t="s">
        <v>15</v>
      </c>
      <c r="H267" t="s">
        <v>18</v>
      </c>
      <c r="I267">
        <v>1</v>
      </c>
      <c r="J267">
        <v>1222</v>
      </c>
      <c r="K267">
        <v>0.1</v>
      </c>
      <c r="L267">
        <v>1099.8</v>
      </c>
      <c r="M267">
        <v>1019</v>
      </c>
    </row>
    <row r="268" spans="1:13" x14ac:dyDescent="0.25">
      <c r="A268">
        <v>267</v>
      </c>
      <c r="B268" s="4">
        <v>45333</v>
      </c>
      <c r="C268" s="4" t="str">
        <f>TEXT(Sales_Data[[#This Row],[Order_Date]],"mmm-yyyy")</f>
        <v>Feb-2024</v>
      </c>
      <c r="D268" s="4" t="str">
        <f>TEXT(Sales_Data[[#This Row],[Order_Date]],"yyy")</f>
        <v>2024</v>
      </c>
      <c r="E268" s="4" t="str">
        <f>TEXT(Sales_Data[[#This Row],[Order_Date]],"mmm")</f>
        <v>Feb</v>
      </c>
      <c r="F268" t="s">
        <v>12</v>
      </c>
      <c r="G268" t="s">
        <v>14</v>
      </c>
      <c r="H268" t="s">
        <v>23</v>
      </c>
      <c r="I268">
        <v>3</v>
      </c>
      <c r="J268">
        <v>2786</v>
      </c>
      <c r="K268">
        <v>0.1</v>
      </c>
      <c r="L268">
        <v>7522.2</v>
      </c>
      <c r="M268">
        <v>1078</v>
      </c>
    </row>
    <row r="269" spans="1:13" x14ac:dyDescent="0.25">
      <c r="A269">
        <v>268</v>
      </c>
      <c r="B269" s="4">
        <v>45436</v>
      </c>
      <c r="C269" s="4" t="str">
        <f>TEXT(Sales_Data[[#This Row],[Order_Date]],"mmm-yyyy")</f>
        <v>May-2024</v>
      </c>
      <c r="D269" s="4" t="str">
        <f>TEXT(Sales_Data[[#This Row],[Order_Date]],"yyy")</f>
        <v>2024</v>
      </c>
      <c r="E269" s="4" t="str">
        <f>TEXT(Sales_Data[[#This Row],[Order_Date]],"mmm")</f>
        <v>May</v>
      </c>
      <c r="F269" t="s">
        <v>13</v>
      </c>
      <c r="G269" t="s">
        <v>14</v>
      </c>
      <c r="H269" t="s">
        <v>22</v>
      </c>
      <c r="I269">
        <v>10</v>
      </c>
      <c r="J269">
        <v>2855</v>
      </c>
      <c r="K269">
        <v>0.15</v>
      </c>
      <c r="L269">
        <v>24267.5</v>
      </c>
      <c r="M269">
        <v>1060</v>
      </c>
    </row>
    <row r="270" spans="1:13" x14ac:dyDescent="0.25">
      <c r="A270">
        <v>269</v>
      </c>
      <c r="B270" s="4">
        <v>45441</v>
      </c>
      <c r="C270" s="4" t="str">
        <f>TEXT(Sales_Data[[#This Row],[Order_Date]],"mmm-yyyy")</f>
        <v>May-2024</v>
      </c>
      <c r="D270" s="4" t="str">
        <f>TEXT(Sales_Data[[#This Row],[Order_Date]],"yyy")</f>
        <v>2024</v>
      </c>
      <c r="E270" s="4" t="str">
        <f>TEXT(Sales_Data[[#This Row],[Order_Date]],"mmm")</f>
        <v>May</v>
      </c>
      <c r="F270" t="s">
        <v>13</v>
      </c>
      <c r="G270" t="s">
        <v>15</v>
      </c>
      <c r="H270" t="s">
        <v>25</v>
      </c>
      <c r="I270">
        <v>6</v>
      </c>
      <c r="J270">
        <v>997</v>
      </c>
      <c r="K270">
        <v>0.15</v>
      </c>
      <c r="L270">
        <v>5084.7</v>
      </c>
      <c r="M270">
        <v>1092</v>
      </c>
    </row>
    <row r="271" spans="1:13" x14ac:dyDescent="0.25">
      <c r="A271">
        <v>270</v>
      </c>
      <c r="B271" s="4">
        <v>45359</v>
      </c>
      <c r="C271" s="4" t="str">
        <f>TEXT(Sales_Data[[#This Row],[Order_Date]],"mmm-yyyy")</f>
        <v>Mar-2024</v>
      </c>
      <c r="D271" s="4" t="str">
        <f>TEXT(Sales_Data[[#This Row],[Order_Date]],"yyy")</f>
        <v>2024</v>
      </c>
      <c r="E271" s="4" t="str">
        <f>TEXT(Sales_Data[[#This Row],[Order_Date]],"mmm")</f>
        <v>Mar</v>
      </c>
      <c r="F271" t="s">
        <v>10</v>
      </c>
      <c r="G271" t="s">
        <v>14</v>
      </c>
      <c r="H271" t="s">
        <v>23</v>
      </c>
      <c r="I271">
        <v>1</v>
      </c>
      <c r="J271">
        <v>4989</v>
      </c>
      <c r="K271">
        <v>0.15</v>
      </c>
      <c r="L271">
        <v>4240.6499999999996</v>
      </c>
      <c r="M271">
        <v>1092</v>
      </c>
    </row>
    <row r="272" spans="1:13" x14ac:dyDescent="0.25">
      <c r="A272">
        <v>271</v>
      </c>
      <c r="B272" s="4">
        <v>45329</v>
      </c>
      <c r="C272" s="4" t="str">
        <f>TEXT(Sales_Data[[#This Row],[Order_Date]],"mmm-yyyy")</f>
        <v>Feb-2024</v>
      </c>
      <c r="D272" s="4" t="str">
        <f>TEXT(Sales_Data[[#This Row],[Order_Date]],"yyy")</f>
        <v>2024</v>
      </c>
      <c r="E272" s="4" t="str">
        <f>TEXT(Sales_Data[[#This Row],[Order_Date]],"mmm")</f>
        <v>Feb</v>
      </c>
      <c r="F272" t="s">
        <v>10</v>
      </c>
      <c r="G272" t="s">
        <v>15</v>
      </c>
      <c r="H272" t="s">
        <v>26</v>
      </c>
      <c r="I272">
        <v>3</v>
      </c>
      <c r="J272">
        <v>4394</v>
      </c>
      <c r="K272">
        <v>0.15</v>
      </c>
      <c r="L272">
        <v>11204.7</v>
      </c>
      <c r="M272">
        <v>1004</v>
      </c>
    </row>
    <row r="273" spans="1:13" x14ac:dyDescent="0.25">
      <c r="A273">
        <v>272</v>
      </c>
      <c r="B273" s="4">
        <v>45404</v>
      </c>
      <c r="C273" s="4" t="str">
        <f>TEXT(Sales_Data[[#This Row],[Order_Date]],"mmm-yyyy")</f>
        <v>Apr-2024</v>
      </c>
      <c r="D273" s="4" t="str">
        <f>TEXT(Sales_Data[[#This Row],[Order_Date]],"yyy")</f>
        <v>2024</v>
      </c>
      <c r="E273" s="4" t="str">
        <f>TEXT(Sales_Data[[#This Row],[Order_Date]],"mmm")</f>
        <v>Apr</v>
      </c>
      <c r="F273" t="s">
        <v>13</v>
      </c>
      <c r="G273" t="s">
        <v>14</v>
      </c>
      <c r="H273" t="s">
        <v>23</v>
      </c>
      <c r="I273">
        <v>2</v>
      </c>
      <c r="J273">
        <v>1662</v>
      </c>
      <c r="K273">
        <v>0</v>
      </c>
      <c r="L273">
        <v>3324</v>
      </c>
      <c r="M273">
        <v>1053</v>
      </c>
    </row>
    <row r="274" spans="1:13" x14ac:dyDescent="0.25">
      <c r="A274">
        <v>273</v>
      </c>
      <c r="B274" s="4">
        <v>45307</v>
      </c>
      <c r="C274" s="4" t="str">
        <f>TEXT(Sales_Data[[#This Row],[Order_Date]],"mmm-yyyy")</f>
        <v>Jan-2024</v>
      </c>
      <c r="D274" s="4" t="str">
        <f>TEXT(Sales_Data[[#This Row],[Order_Date]],"yyy")</f>
        <v>2024</v>
      </c>
      <c r="E274" s="4" t="str">
        <f>TEXT(Sales_Data[[#This Row],[Order_Date]],"mmm")</f>
        <v>Jan</v>
      </c>
      <c r="F274" t="s">
        <v>10</v>
      </c>
      <c r="G274" t="s">
        <v>15</v>
      </c>
      <c r="H274" t="s">
        <v>26</v>
      </c>
      <c r="I274">
        <v>4</v>
      </c>
      <c r="J274">
        <v>3461</v>
      </c>
      <c r="K274">
        <v>0.15</v>
      </c>
      <c r="L274">
        <v>11767.4</v>
      </c>
      <c r="M274">
        <v>1066</v>
      </c>
    </row>
    <row r="275" spans="1:13" x14ac:dyDescent="0.25">
      <c r="A275">
        <v>274</v>
      </c>
      <c r="B275" s="4">
        <v>45372</v>
      </c>
      <c r="C275" s="4" t="str">
        <f>TEXT(Sales_Data[[#This Row],[Order_Date]],"mmm-yyyy")</f>
        <v>Mar-2024</v>
      </c>
      <c r="D275" s="4" t="str">
        <f>TEXT(Sales_Data[[#This Row],[Order_Date]],"yyy")</f>
        <v>2024</v>
      </c>
      <c r="E275" s="4" t="str">
        <f>TEXT(Sales_Data[[#This Row],[Order_Date]],"mmm")</f>
        <v>Mar</v>
      </c>
      <c r="F275" t="s">
        <v>10</v>
      </c>
      <c r="G275" t="s">
        <v>15</v>
      </c>
      <c r="H275" t="s">
        <v>25</v>
      </c>
      <c r="I275">
        <v>8</v>
      </c>
      <c r="J275">
        <v>4404</v>
      </c>
      <c r="K275">
        <v>0.15</v>
      </c>
      <c r="L275">
        <v>29947.200000000001</v>
      </c>
      <c r="M275">
        <v>1058</v>
      </c>
    </row>
    <row r="276" spans="1:13" x14ac:dyDescent="0.25">
      <c r="A276">
        <v>275</v>
      </c>
      <c r="B276" s="4">
        <v>45448</v>
      </c>
      <c r="C276" s="4" t="str">
        <f>TEXT(Sales_Data[[#This Row],[Order_Date]],"mmm-yyyy")</f>
        <v>Jun-2024</v>
      </c>
      <c r="D276" s="4" t="str">
        <f>TEXT(Sales_Data[[#This Row],[Order_Date]],"yyy")</f>
        <v>2024</v>
      </c>
      <c r="E276" s="4" t="str">
        <f>TEXT(Sales_Data[[#This Row],[Order_Date]],"mmm")</f>
        <v>Jun</v>
      </c>
      <c r="F276" t="s">
        <v>12</v>
      </c>
      <c r="G276" t="s">
        <v>14</v>
      </c>
      <c r="H276" t="s">
        <v>22</v>
      </c>
      <c r="I276">
        <v>9</v>
      </c>
      <c r="J276">
        <v>3002</v>
      </c>
      <c r="K276">
        <v>0.1</v>
      </c>
      <c r="L276">
        <v>24316.2</v>
      </c>
      <c r="M276">
        <v>1024</v>
      </c>
    </row>
    <row r="277" spans="1:13" x14ac:dyDescent="0.25">
      <c r="A277">
        <v>276</v>
      </c>
      <c r="B277" s="4">
        <v>45368</v>
      </c>
      <c r="C277" s="4" t="str">
        <f>TEXT(Sales_Data[[#This Row],[Order_Date]],"mmm-yyyy")</f>
        <v>Mar-2024</v>
      </c>
      <c r="D277" s="4" t="str">
        <f>TEXT(Sales_Data[[#This Row],[Order_Date]],"yyy")</f>
        <v>2024</v>
      </c>
      <c r="E277" s="4" t="str">
        <f>TEXT(Sales_Data[[#This Row],[Order_Date]],"mmm")</f>
        <v>Mar</v>
      </c>
      <c r="F277" t="s">
        <v>13</v>
      </c>
      <c r="G277" t="s">
        <v>15</v>
      </c>
      <c r="H277" t="s">
        <v>25</v>
      </c>
      <c r="I277">
        <v>9</v>
      </c>
      <c r="J277">
        <v>2545</v>
      </c>
      <c r="K277">
        <v>0.05</v>
      </c>
      <c r="L277">
        <v>21759.75</v>
      </c>
      <c r="M277">
        <v>1090</v>
      </c>
    </row>
    <row r="278" spans="1:13" x14ac:dyDescent="0.25">
      <c r="A278">
        <v>277</v>
      </c>
      <c r="B278" s="4">
        <v>45435</v>
      </c>
      <c r="C278" s="4" t="str">
        <f>TEXT(Sales_Data[[#This Row],[Order_Date]],"mmm-yyyy")</f>
        <v>May-2024</v>
      </c>
      <c r="D278" s="4" t="str">
        <f>TEXT(Sales_Data[[#This Row],[Order_Date]],"yyy")</f>
        <v>2024</v>
      </c>
      <c r="E278" s="4" t="str">
        <f>TEXT(Sales_Data[[#This Row],[Order_Date]],"mmm")</f>
        <v>May</v>
      </c>
      <c r="F278" t="s">
        <v>13</v>
      </c>
      <c r="G278" t="s">
        <v>15</v>
      </c>
      <c r="H278" t="s">
        <v>26</v>
      </c>
      <c r="I278">
        <v>6</v>
      </c>
      <c r="J278">
        <v>4030</v>
      </c>
      <c r="K278">
        <v>0.1</v>
      </c>
      <c r="L278">
        <v>21762</v>
      </c>
      <c r="M278">
        <v>1036</v>
      </c>
    </row>
    <row r="279" spans="1:13" x14ac:dyDescent="0.25">
      <c r="A279">
        <v>278</v>
      </c>
      <c r="B279" s="4">
        <v>45366</v>
      </c>
      <c r="C279" s="4" t="str">
        <f>TEXT(Sales_Data[[#This Row],[Order_Date]],"mmm-yyyy")</f>
        <v>Mar-2024</v>
      </c>
      <c r="D279" s="4" t="str">
        <f>TEXT(Sales_Data[[#This Row],[Order_Date]],"yyy")</f>
        <v>2024</v>
      </c>
      <c r="E279" s="4" t="str">
        <f>TEXT(Sales_Data[[#This Row],[Order_Date]],"mmm")</f>
        <v>Mar</v>
      </c>
      <c r="F279" t="s">
        <v>11</v>
      </c>
      <c r="G279" t="s">
        <v>15</v>
      </c>
      <c r="H279" t="s">
        <v>26</v>
      </c>
      <c r="I279">
        <v>7</v>
      </c>
      <c r="J279">
        <v>2927</v>
      </c>
      <c r="K279">
        <v>0.05</v>
      </c>
      <c r="L279">
        <v>19464.55</v>
      </c>
      <c r="M279">
        <v>1036</v>
      </c>
    </row>
    <row r="280" spans="1:13" x14ac:dyDescent="0.25">
      <c r="A280">
        <v>279</v>
      </c>
      <c r="B280" s="4">
        <v>45414</v>
      </c>
      <c r="C280" s="4" t="str">
        <f>TEXT(Sales_Data[[#This Row],[Order_Date]],"mmm-yyyy")</f>
        <v>May-2024</v>
      </c>
      <c r="D280" s="4" t="str">
        <f>TEXT(Sales_Data[[#This Row],[Order_Date]],"yyy")</f>
        <v>2024</v>
      </c>
      <c r="E280" s="4" t="str">
        <f>TEXT(Sales_Data[[#This Row],[Order_Date]],"mmm")</f>
        <v>May</v>
      </c>
      <c r="F280" t="s">
        <v>10</v>
      </c>
      <c r="G280" t="s">
        <v>14</v>
      </c>
      <c r="H280" t="s">
        <v>17</v>
      </c>
      <c r="I280">
        <v>6</v>
      </c>
      <c r="J280">
        <v>3723</v>
      </c>
      <c r="K280">
        <v>0.1</v>
      </c>
      <c r="L280">
        <v>20104.2</v>
      </c>
      <c r="M280">
        <v>1025</v>
      </c>
    </row>
    <row r="281" spans="1:13" x14ac:dyDescent="0.25">
      <c r="A281">
        <v>280</v>
      </c>
      <c r="B281" s="4">
        <v>45319</v>
      </c>
      <c r="C281" s="4" t="str">
        <f>TEXT(Sales_Data[[#This Row],[Order_Date]],"mmm-yyyy")</f>
        <v>Jan-2024</v>
      </c>
      <c r="D281" s="4" t="str">
        <f>TEXT(Sales_Data[[#This Row],[Order_Date]],"yyy")</f>
        <v>2024</v>
      </c>
      <c r="E281" s="4" t="str">
        <f>TEXT(Sales_Data[[#This Row],[Order_Date]],"mmm")</f>
        <v>Jan</v>
      </c>
      <c r="F281" t="s">
        <v>10</v>
      </c>
      <c r="G281" t="s">
        <v>14</v>
      </c>
      <c r="H281" t="s">
        <v>22</v>
      </c>
      <c r="I281">
        <v>9</v>
      </c>
      <c r="J281">
        <v>2325</v>
      </c>
      <c r="K281">
        <v>0.05</v>
      </c>
      <c r="L281">
        <v>19878.75</v>
      </c>
      <c r="M281">
        <v>1031</v>
      </c>
    </row>
    <row r="282" spans="1:13" x14ac:dyDescent="0.25">
      <c r="A282">
        <v>281</v>
      </c>
      <c r="B282" s="4">
        <v>45397</v>
      </c>
      <c r="C282" s="4" t="str">
        <f>TEXT(Sales_Data[[#This Row],[Order_Date]],"mmm-yyyy")</f>
        <v>Apr-2024</v>
      </c>
      <c r="D282" s="4" t="str">
        <f>TEXT(Sales_Data[[#This Row],[Order_Date]],"yyy")</f>
        <v>2024</v>
      </c>
      <c r="E282" s="4" t="str">
        <f>TEXT(Sales_Data[[#This Row],[Order_Date]],"mmm")</f>
        <v>Apr</v>
      </c>
      <c r="F282" t="s">
        <v>13</v>
      </c>
      <c r="G282" t="s">
        <v>15</v>
      </c>
      <c r="H282" t="s">
        <v>24</v>
      </c>
      <c r="I282">
        <v>4</v>
      </c>
      <c r="J282">
        <v>530</v>
      </c>
      <c r="K282">
        <v>0</v>
      </c>
      <c r="L282">
        <v>2120</v>
      </c>
      <c r="M282">
        <v>1091</v>
      </c>
    </row>
    <row r="283" spans="1:13" x14ac:dyDescent="0.25">
      <c r="A283">
        <v>282</v>
      </c>
      <c r="B283" s="4">
        <v>45396</v>
      </c>
      <c r="C283" s="4" t="str">
        <f>TEXT(Sales_Data[[#This Row],[Order_Date]],"mmm-yyyy")</f>
        <v>Apr-2024</v>
      </c>
      <c r="D283" s="4" t="str">
        <f>TEXT(Sales_Data[[#This Row],[Order_Date]],"yyy")</f>
        <v>2024</v>
      </c>
      <c r="E283" s="4" t="str">
        <f>TEXT(Sales_Data[[#This Row],[Order_Date]],"mmm")</f>
        <v>Apr</v>
      </c>
      <c r="F283" t="s">
        <v>12</v>
      </c>
      <c r="G283" t="s">
        <v>16</v>
      </c>
      <c r="H283" t="s">
        <v>19</v>
      </c>
      <c r="I283">
        <v>3</v>
      </c>
      <c r="J283">
        <v>142</v>
      </c>
      <c r="K283">
        <v>0.05</v>
      </c>
      <c r="L283">
        <v>404.7</v>
      </c>
      <c r="M283">
        <v>1061</v>
      </c>
    </row>
    <row r="284" spans="1:13" x14ac:dyDescent="0.25">
      <c r="A284">
        <v>283</v>
      </c>
      <c r="B284" s="4">
        <v>45457</v>
      </c>
      <c r="C284" s="4" t="str">
        <f>TEXT(Sales_Data[[#This Row],[Order_Date]],"mmm-yyyy")</f>
        <v>Jun-2024</v>
      </c>
      <c r="D284" s="4" t="str">
        <f>TEXT(Sales_Data[[#This Row],[Order_Date]],"yyy")</f>
        <v>2024</v>
      </c>
      <c r="E284" s="4" t="str">
        <f>TEXT(Sales_Data[[#This Row],[Order_Date]],"mmm")</f>
        <v>Jun</v>
      </c>
      <c r="F284" t="s">
        <v>11</v>
      </c>
      <c r="G284" t="s">
        <v>14</v>
      </c>
      <c r="H284" t="s">
        <v>17</v>
      </c>
      <c r="I284">
        <v>5</v>
      </c>
      <c r="J284">
        <v>2731</v>
      </c>
      <c r="K284">
        <v>0.1</v>
      </c>
      <c r="L284">
        <v>12289.5</v>
      </c>
      <c r="M284">
        <v>1098</v>
      </c>
    </row>
    <row r="285" spans="1:13" x14ac:dyDescent="0.25">
      <c r="A285">
        <v>284</v>
      </c>
      <c r="B285" s="4">
        <v>45398</v>
      </c>
      <c r="C285" s="4" t="str">
        <f>TEXT(Sales_Data[[#This Row],[Order_Date]],"mmm-yyyy")</f>
        <v>Apr-2024</v>
      </c>
      <c r="D285" s="4" t="str">
        <f>TEXT(Sales_Data[[#This Row],[Order_Date]],"yyy")</f>
        <v>2024</v>
      </c>
      <c r="E285" s="4" t="str">
        <f>TEXT(Sales_Data[[#This Row],[Order_Date]],"mmm")</f>
        <v>Apr</v>
      </c>
      <c r="F285" t="s">
        <v>10</v>
      </c>
      <c r="G285" t="s">
        <v>15</v>
      </c>
      <c r="H285" t="s">
        <v>24</v>
      </c>
      <c r="I285">
        <v>9</v>
      </c>
      <c r="J285">
        <v>405</v>
      </c>
      <c r="K285">
        <v>0.05</v>
      </c>
      <c r="L285">
        <v>3462.75</v>
      </c>
      <c r="M285">
        <v>1004</v>
      </c>
    </row>
    <row r="286" spans="1:13" x14ac:dyDescent="0.25">
      <c r="A286">
        <v>285</v>
      </c>
      <c r="B286" s="4">
        <v>45294</v>
      </c>
      <c r="C286" s="4" t="str">
        <f>TEXT(Sales_Data[[#This Row],[Order_Date]],"mmm-yyyy")</f>
        <v>Jan-2024</v>
      </c>
      <c r="D286" s="4" t="str">
        <f>TEXT(Sales_Data[[#This Row],[Order_Date]],"yyy")</f>
        <v>2024</v>
      </c>
      <c r="E286" s="4" t="str">
        <f>TEXT(Sales_Data[[#This Row],[Order_Date]],"mmm")</f>
        <v>Jan</v>
      </c>
      <c r="F286" t="s">
        <v>13</v>
      </c>
      <c r="G286" t="s">
        <v>16</v>
      </c>
      <c r="H286" t="s">
        <v>21</v>
      </c>
      <c r="I286">
        <v>3</v>
      </c>
      <c r="J286">
        <v>2471</v>
      </c>
      <c r="K286">
        <v>0</v>
      </c>
      <c r="L286">
        <v>7413</v>
      </c>
      <c r="M286">
        <v>1072</v>
      </c>
    </row>
    <row r="287" spans="1:13" x14ac:dyDescent="0.25">
      <c r="A287">
        <v>286</v>
      </c>
      <c r="B287" s="4">
        <v>45456</v>
      </c>
      <c r="C287" s="4" t="str">
        <f>TEXT(Sales_Data[[#This Row],[Order_Date]],"mmm-yyyy")</f>
        <v>Jun-2024</v>
      </c>
      <c r="D287" s="4" t="str">
        <f>TEXT(Sales_Data[[#This Row],[Order_Date]],"yyy")</f>
        <v>2024</v>
      </c>
      <c r="E287" s="4" t="str">
        <f>TEXT(Sales_Data[[#This Row],[Order_Date]],"mmm")</f>
        <v>Jun</v>
      </c>
      <c r="F287" t="s">
        <v>12</v>
      </c>
      <c r="G287" t="s">
        <v>14</v>
      </c>
      <c r="H287" t="s">
        <v>17</v>
      </c>
      <c r="I287">
        <v>6</v>
      </c>
      <c r="J287">
        <v>2431</v>
      </c>
      <c r="K287">
        <v>0.15</v>
      </c>
      <c r="L287">
        <v>12398.1</v>
      </c>
      <c r="M287">
        <v>1017</v>
      </c>
    </row>
    <row r="288" spans="1:13" x14ac:dyDescent="0.25">
      <c r="A288">
        <v>287</v>
      </c>
      <c r="B288" s="4">
        <v>45376</v>
      </c>
      <c r="C288" s="4" t="str">
        <f>TEXT(Sales_Data[[#This Row],[Order_Date]],"mmm-yyyy")</f>
        <v>Mar-2024</v>
      </c>
      <c r="D288" s="4" t="str">
        <f>TEXT(Sales_Data[[#This Row],[Order_Date]],"yyy")</f>
        <v>2024</v>
      </c>
      <c r="E288" s="4" t="str">
        <f>TEXT(Sales_Data[[#This Row],[Order_Date]],"mmm")</f>
        <v>Mar</v>
      </c>
      <c r="F288" t="s">
        <v>10</v>
      </c>
      <c r="G288" t="s">
        <v>14</v>
      </c>
      <c r="H288" t="s">
        <v>22</v>
      </c>
      <c r="I288">
        <v>5</v>
      </c>
      <c r="J288">
        <v>1679</v>
      </c>
      <c r="K288">
        <v>0</v>
      </c>
      <c r="L288">
        <v>8395</v>
      </c>
      <c r="M288">
        <v>1093</v>
      </c>
    </row>
    <row r="289" spans="1:13" x14ac:dyDescent="0.25">
      <c r="A289">
        <v>288</v>
      </c>
      <c r="B289" s="4">
        <v>45378</v>
      </c>
      <c r="C289" s="4" t="str">
        <f>TEXT(Sales_Data[[#This Row],[Order_Date]],"mmm-yyyy")</f>
        <v>Mar-2024</v>
      </c>
      <c r="D289" s="4" t="str">
        <f>TEXT(Sales_Data[[#This Row],[Order_Date]],"yyy")</f>
        <v>2024</v>
      </c>
      <c r="E289" s="4" t="str">
        <f>TEXT(Sales_Data[[#This Row],[Order_Date]],"mmm")</f>
        <v>Mar</v>
      </c>
      <c r="F289" t="s">
        <v>13</v>
      </c>
      <c r="G289" t="s">
        <v>16</v>
      </c>
      <c r="H289" t="s">
        <v>20</v>
      </c>
      <c r="I289">
        <v>5</v>
      </c>
      <c r="J289">
        <v>1625</v>
      </c>
      <c r="K289">
        <v>0</v>
      </c>
      <c r="L289">
        <v>8125</v>
      </c>
      <c r="M289">
        <v>1072</v>
      </c>
    </row>
    <row r="290" spans="1:13" x14ac:dyDescent="0.25">
      <c r="A290">
        <v>289</v>
      </c>
      <c r="B290" s="4">
        <v>45423</v>
      </c>
      <c r="C290" s="4" t="str">
        <f>TEXT(Sales_Data[[#This Row],[Order_Date]],"mmm-yyyy")</f>
        <v>May-2024</v>
      </c>
      <c r="D290" s="4" t="str">
        <f>TEXT(Sales_Data[[#This Row],[Order_Date]],"yyy")</f>
        <v>2024</v>
      </c>
      <c r="E290" s="4" t="str">
        <f>TEXT(Sales_Data[[#This Row],[Order_Date]],"mmm")</f>
        <v>May</v>
      </c>
      <c r="F290" t="s">
        <v>13</v>
      </c>
      <c r="G290" t="s">
        <v>14</v>
      </c>
      <c r="H290" t="s">
        <v>17</v>
      </c>
      <c r="I290">
        <v>3</v>
      </c>
      <c r="J290">
        <v>3421</v>
      </c>
      <c r="K290">
        <v>0.15</v>
      </c>
      <c r="L290">
        <v>8723.5499999999993</v>
      </c>
      <c r="M290">
        <v>1011</v>
      </c>
    </row>
    <row r="291" spans="1:13" x14ac:dyDescent="0.25">
      <c r="A291">
        <v>290</v>
      </c>
      <c r="B291" s="4">
        <v>45414</v>
      </c>
      <c r="C291" s="4" t="str">
        <f>TEXT(Sales_Data[[#This Row],[Order_Date]],"mmm-yyyy")</f>
        <v>May-2024</v>
      </c>
      <c r="D291" s="4" t="str">
        <f>TEXT(Sales_Data[[#This Row],[Order_Date]],"yyy")</f>
        <v>2024</v>
      </c>
      <c r="E291" s="4" t="str">
        <f>TEXT(Sales_Data[[#This Row],[Order_Date]],"mmm")</f>
        <v>May</v>
      </c>
      <c r="F291" t="s">
        <v>13</v>
      </c>
      <c r="G291" t="s">
        <v>16</v>
      </c>
      <c r="H291" t="s">
        <v>20</v>
      </c>
      <c r="I291">
        <v>2</v>
      </c>
      <c r="J291">
        <v>1613</v>
      </c>
      <c r="K291">
        <v>0.05</v>
      </c>
      <c r="L291">
        <v>3064.7</v>
      </c>
      <c r="M291">
        <v>1031</v>
      </c>
    </row>
    <row r="292" spans="1:13" x14ac:dyDescent="0.25">
      <c r="A292">
        <v>291</v>
      </c>
      <c r="B292" s="4">
        <v>45360</v>
      </c>
      <c r="C292" s="4" t="str">
        <f>TEXT(Sales_Data[[#This Row],[Order_Date]],"mmm-yyyy")</f>
        <v>Mar-2024</v>
      </c>
      <c r="D292" s="4" t="str">
        <f>TEXT(Sales_Data[[#This Row],[Order_Date]],"yyy")</f>
        <v>2024</v>
      </c>
      <c r="E292" s="4" t="str">
        <f>TEXT(Sales_Data[[#This Row],[Order_Date]],"mmm")</f>
        <v>Mar</v>
      </c>
      <c r="F292" t="s">
        <v>13</v>
      </c>
      <c r="G292" t="s">
        <v>15</v>
      </c>
      <c r="H292" t="s">
        <v>25</v>
      </c>
      <c r="I292">
        <v>7</v>
      </c>
      <c r="J292">
        <v>2029</v>
      </c>
      <c r="K292">
        <v>0.15</v>
      </c>
      <c r="L292">
        <v>12072.55</v>
      </c>
      <c r="M292">
        <v>1038</v>
      </c>
    </row>
    <row r="293" spans="1:13" x14ac:dyDescent="0.25">
      <c r="A293">
        <v>292</v>
      </c>
      <c r="B293" s="4">
        <v>45459</v>
      </c>
      <c r="C293" s="4" t="str">
        <f>TEXT(Sales_Data[[#This Row],[Order_Date]],"mmm-yyyy")</f>
        <v>Jun-2024</v>
      </c>
      <c r="D293" s="4" t="str">
        <f>TEXT(Sales_Data[[#This Row],[Order_Date]],"yyy")</f>
        <v>2024</v>
      </c>
      <c r="E293" s="4" t="str">
        <f>TEXT(Sales_Data[[#This Row],[Order_Date]],"mmm")</f>
        <v>Jun</v>
      </c>
      <c r="F293" t="s">
        <v>13</v>
      </c>
      <c r="G293" t="s">
        <v>14</v>
      </c>
      <c r="H293" t="s">
        <v>23</v>
      </c>
      <c r="I293">
        <v>10</v>
      </c>
      <c r="J293">
        <v>193</v>
      </c>
      <c r="K293">
        <v>0.1</v>
      </c>
      <c r="L293">
        <v>1737</v>
      </c>
      <c r="M293">
        <v>1088</v>
      </c>
    </row>
    <row r="294" spans="1:13" x14ac:dyDescent="0.25">
      <c r="A294">
        <v>293</v>
      </c>
      <c r="B294" s="4">
        <v>45332</v>
      </c>
      <c r="C294" s="4" t="str">
        <f>TEXT(Sales_Data[[#This Row],[Order_Date]],"mmm-yyyy")</f>
        <v>Feb-2024</v>
      </c>
      <c r="D294" s="4" t="str">
        <f>TEXT(Sales_Data[[#This Row],[Order_Date]],"yyy")</f>
        <v>2024</v>
      </c>
      <c r="E294" s="4" t="str">
        <f>TEXT(Sales_Data[[#This Row],[Order_Date]],"mmm")</f>
        <v>Feb</v>
      </c>
      <c r="F294" t="s">
        <v>12</v>
      </c>
      <c r="G294" t="s">
        <v>15</v>
      </c>
      <c r="H294" t="s">
        <v>18</v>
      </c>
      <c r="I294">
        <v>2</v>
      </c>
      <c r="J294">
        <v>3912</v>
      </c>
      <c r="K294">
        <v>0.1</v>
      </c>
      <c r="L294">
        <v>7041.6</v>
      </c>
      <c r="M294">
        <v>1087</v>
      </c>
    </row>
    <row r="295" spans="1:13" x14ac:dyDescent="0.25">
      <c r="A295">
        <v>294</v>
      </c>
      <c r="B295" s="4">
        <v>45386</v>
      </c>
      <c r="C295" s="4" t="str">
        <f>TEXT(Sales_Data[[#This Row],[Order_Date]],"mmm-yyyy")</f>
        <v>Apr-2024</v>
      </c>
      <c r="D295" s="4" t="str">
        <f>TEXT(Sales_Data[[#This Row],[Order_Date]],"yyy")</f>
        <v>2024</v>
      </c>
      <c r="E295" s="4" t="str">
        <f>TEXT(Sales_Data[[#This Row],[Order_Date]],"mmm")</f>
        <v>Apr</v>
      </c>
      <c r="F295" t="s">
        <v>10</v>
      </c>
      <c r="G295" t="s">
        <v>14</v>
      </c>
      <c r="H295" t="s">
        <v>23</v>
      </c>
      <c r="I295">
        <v>5</v>
      </c>
      <c r="J295">
        <v>1061</v>
      </c>
      <c r="K295">
        <v>0.1</v>
      </c>
      <c r="L295">
        <v>4774.5</v>
      </c>
      <c r="M295">
        <v>1028</v>
      </c>
    </row>
    <row r="296" spans="1:13" x14ac:dyDescent="0.25">
      <c r="A296">
        <v>295</v>
      </c>
      <c r="B296" s="4">
        <v>45398</v>
      </c>
      <c r="C296" s="4" t="str">
        <f>TEXT(Sales_Data[[#This Row],[Order_Date]],"mmm-yyyy")</f>
        <v>Apr-2024</v>
      </c>
      <c r="D296" s="4" t="str">
        <f>TEXT(Sales_Data[[#This Row],[Order_Date]],"yyy")</f>
        <v>2024</v>
      </c>
      <c r="E296" s="4" t="str">
        <f>TEXT(Sales_Data[[#This Row],[Order_Date]],"mmm")</f>
        <v>Apr</v>
      </c>
      <c r="F296" t="s">
        <v>12</v>
      </c>
      <c r="G296" t="s">
        <v>15</v>
      </c>
      <c r="H296" t="s">
        <v>26</v>
      </c>
      <c r="I296">
        <v>3</v>
      </c>
      <c r="J296">
        <v>3827</v>
      </c>
      <c r="K296">
        <v>0.1</v>
      </c>
      <c r="L296">
        <v>10332.9</v>
      </c>
      <c r="M296">
        <v>1096</v>
      </c>
    </row>
    <row r="297" spans="1:13" x14ac:dyDescent="0.25">
      <c r="A297">
        <v>296</v>
      </c>
      <c r="B297" s="4">
        <v>45426</v>
      </c>
      <c r="C297" s="4" t="str">
        <f>TEXT(Sales_Data[[#This Row],[Order_Date]],"mmm-yyyy")</f>
        <v>May-2024</v>
      </c>
      <c r="D297" s="4" t="str">
        <f>TEXT(Sales_Data[[#This Row],[Order_Date]],"yyy")</f>
        <v>2024</v>
      </c>
      <c r="E297" s="4" t="str">
        <f>TEXT(Sales_Data[[#This Row],[Order_Date]],"mmm")</f>
        <v>May</v>
      </c>
      <c r="F297" t="s">
        <v>12</v>
      </c>
      <c r="G297" t="s">
        <v>14</v>
      </c>
      <c r="H297" t="s">
        <v>23</v>
      </c>
      <c r="I297">
        <v>4</v>
      </c>
      <c r="J297">
        <v>2127</v>
      </c>
      <c r="K297">
        <v>0</v>
      </c>
      <c r="L297">
        <v>8508</v>
      </c>
      <c r="M297">
        <v>1067</v>
      </c>
    </row>
    <row r="298" spans="1:13" x14ac:dyDescent="0.25">
      <c r="A298">
        <v>297</v>
      </c>
      <c r="B298" s="4">
        <v>45307</v>
      </c>
      <c r="C298" s="4" t="str">
        <f>TEXT(Sales_Data[[#This Row],[Order_Date]],"mmm-yyyy")</f>
        <v>Jan-2024</v>
      </c>
      <c r="D298" s="4" t="str">
        <f>TEXT(Sales_Data[[#This Row],[Order_Date]],"yyy")</f>
        <v>2024</v>
      </c>
      <c r="E298" s="4" t="str">
        <f>TEXT(Sales_Data[[#This Row],[Order_Date]],"mmm")</f>
        <v>Jan</v>
      </c>
      <c r="F298" t="s">
        <v>10</v>
      </c>
      <c r="G298" t="s">
        <v>14</v>
      </c>
      <c r="H298" t="s">
        <v>22</v>
      </c>
      <c r="I298">
        <v>2</v>
      </c>
      <c r="J298">
        <v>4721</v>
      </c>
      <c r="K298">
        <v>0</v>
      </c>
      <c r="L298">
        <v>9442</v>
      </c>
      <c r="M298">
        <v>1073</v>
      </c>
    </row>
    <row r="299" spans="1:13" x14ac:dyDescent="0.25">
      <c r="A299">
        <v>298</v>
      </c>
      <c r="B299" s="4">
        <v>45321</v>
      </c>
      <c r="C299" s="4" t="str">
        <f>TEXT(Sales_Data[[#This Row],[Order_Date]],"mmm-yyyy")</f>
        <v>Jan-2024</v>
      </c>
      <c r="D299" s="4" t="str">
        <f>TEXT(Sales_Data[[#This Row],[Order_Date]],"yyy")</f>
        <v>2024</v>
      </c>
      <c r="E299" s="4" t="str">
        <f>TEXT(Sales_Data[[#This Row],[Order_Date]],"mmm")</f>
        <v>Jan</v>
      </c>
      <c r="F299" t="s">
        <v>10</v>
      </c>
      <c r="G299" t="s">
        <v>14</v>
      </c>
      <c r="H299" t="s">
        <v>17</v>
      </c>
      <c r="I299">
        <v>3</v>
      </c>
      <c r="J299">
        <v>2787</v>
      </c>
      <c r="K299">
        <v>0.15</v>
      </c>
      <c r="L299">
        <v>7106.85</v>
      </c>
      <c r="M299">
        <v>1091</v>
      </c>
    </row>
    <row r="300" spans="1:13" x14ac:dyDescent="0.25">
      <c r="A300">
        <v>299</v>
      </c>
      <c r="B300" s="4">
        <v>45306</v>
      </c>
      <c r="C300" s="4" t="str">
        <f>TEXT(Sales_Data[[#This Row],[Order_Date]],"mmm-yyyy")</f>
        <v>Jan-2024</v>
      </c>
      <c r="D300" s="4" t="str">
        <f>TEXT(Sales_Data[[#This Row],[Order_Date]],"yyy")</f>
        <v>2024</v>
      </c>
      <c r="E300" s="4" t="str">
        <f>TEXT(Sales_Data[[#This Row],[Order_Date]],"mmm")</f>
        <v>Jan</v>
      </c>
      <c r="F300" t="s">
        <v>12</v>
      </c>
      <c r="G300" t="s">
        <v>14</v>
      </c>
      <c r="H300" t="s">
        <v>22</v>
      </c>
      <c r="I300">
        <v>2</v>
      </c>
      <c r="J300">
        <v>4280</v>
      </c>
      <c r="K300">
        <v>0.15</v>
      </c>
      <c r="L300">
        <v>7276</v>
      </c>
      <c r="M300">
        <v>1016</v>
      </c>
    </row>
    <row r="301" spans="1:13" x14ac:dyDescent="0.25">
      <c r="A301">
        <v>300</v>
      </c>
      <c r="B301" s="4">
        <v>45435</v>
      </c>
      <c r="C301" s="4" t="str">
        <f>TEXT(Sales_Data[[#This Row],[Order_Date]],"mmm-yyyy")</f>
        <v>May-2024</v>
      </c>
      <c r="D301" s="4" t="str">
        <f>TEXT(Sales_Data[[#This Row],[Order_Date]],"yyy")</f>
        <v>2024</v>
      </c>
      <c r="E301" s="4" t="str">
        <f>TEXT(Sales_Data[[#This Row],[Order_Date]],"mmm")</f>
        <v>May</v>
      </c>
      <c r="F301" t="s">
        <v>12</v>
      </c>
      <c r="G301" t="s">
        <v>14</v>
      </c>
      <c r="H301" t="s">
        <v>22</v>
      </c>
      <c r="I301">
        <v>8</v>
      </c>
      <c r="J301">
        <v>4719</v>
      </c>
      <c r="K301">
        <v>0</v>
      </c>
      <c r="L301">
        <v>37752</v>
      </c>
      <c r="M301">
        <v>1086</v>
      </c>
    </row>
  </sheetData>
  <phoneticPr fontId="2" type="noConversion"/>
  <conditionalFormatting sqref="A1">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8EB03-B4D5-4AE9-A606-FD644E8CD79C}">
  <dimension ref="A3:H27"/>
  <sheetViews>
    <sheetView workbookViewId="0">
      <selection activeCell="M7" sqref="M7"/>
    </sheetView>
  </sheetViews>
  <sheetFormatPr defaultRowHeight="13.8" x14ac:dyDescent="0.25"/>
  <cols>
    <col min="1" max="1" width="9.796875" customWidth="1"/>
    <col min="2" max="2" width="11.8984375" bestFit="1" customWidth="1"/>
    <col min="3" max="3" width="18.09765625" bestFit="1" customWidth="1"/>
    <col min="4" max="4" width="17.296875" customWidth="1"/>
    <col min="5" max="5" width="18" customWidth="1"/>
  </cols>
  <sheetData>
    <row r="3" spans="1:8" x14ac:dyDescent="0.25">
      <c r="A3" t="s">
        <v>31</v>
      </c>
      <c r="B3" t="s">
        <v>32</v>
      </c>
      <c r="C3" t="s">
        <v>36</v>
      </c>
      <c r="D3" t="s">
        <v>35</v>
      </c>
      <c r="E3" s="16" t="s">
        <v>37</v>
      </c>
    </row>
    <row r="4" spans="1:8" x14ac:dyDescent="0.25">
      <c r="A4" s="16">
        <v>4078080.1</v>
      </c>
      <c r="B4">
        <v>300</v>
      </c>
      <c r="C4">
        <v>97</v>
      </c>
      <c r="D4">
        <v>1704</v>
      </c>
      <c r="E4" s="16">
        <v>13593.600333333334</v>
      </c>
    </row>
    <row r="7" spans="1:8" x14ac:dyDescent="0.25">
      <c r="F7" s="5"/>
      <c r="G7" s="6"/>
      <c r="H7" s="7"/>
    </row>
    <row r="8" spans="1:8" x14ac:dyDescent="0.25">
      <c r="F8" s="8"/>
      <c r="G8" s="9"/>
      <c r="H8" s="10"/>
    </row>
    <row r="9" spans="1:8" x14ac:dyDescent="0.25">
      <c r="F9" s="8"/>
      <c r="G9" s="9"/>
      <c r="H9" s="10"/>
    </row>
    <row r="10" spans="1:8" x14ac:dyDescent="0.25">
      <c r="F10" s="8"/>
      <c r="G10" s="9"/>
      <c r="H10" s="10"/>
    </row>
    <row r="11" spans="1:8" x14ac:dyDescent="0.25">
      <c r="F11" s="8"/>
      <c r="G11" s="9"/>
      <c r="H11" s="10"/>
    </row>
    <row r="12" spans="1:8" x14ac:dyDescent="0.25">
      <c r="F12" s="8"/>
      <c r="G12" s="9"/>
      <c r="H12" s="10"/>
    </row>
    <row r="13" spans="1:8" x14ac:dyDescent="0.25">
      <c r="F13" s="8"/>
      <c r="G13" s="9"/>
      <c r="H13" s="10"/>
    </row>
    <row r="14" spans="1:8" x14ac:dyDescent="0.25">
      <c r="F14" s="8"/>
      <c r="G14" s="9"/>
      <c r="H14" s="10"/>
    </row>
    <row r="15" spans="1:8" x14ac:dyDescent="0.25">
      <c r="F15" s="8"/>
      <c r="G15" s="9"/>
      <c r="H15" s="10"/>
    </row>
    <row r="16" spans="1:8" x14ac:dyDescent="0.25">
      <c r="F16" s="8"/>
      <c r="G16" s="9"/>
      <c r="H16" s="10"/>
    </row>
    <row r="17" spans="2:8" x14ac:dyDescent="0.25">
      <c r="F17" s="8"/>
      <c r="G17" s="9"/>
      <c r="H17" s="10"/>
    </row>
    <row r="18" spans="2:8" x14ac:dyDescent="0.25">
      <c r="F18" s="8"/>
      <c r="G18" s="9"/>
      <c r="H18" s="10"/>
    </row>
    <row r="19" spans="2:8" x14ac:dyDescent="0.25">
      <c r="F19" s="8"/>
      <c r="G19" s="9"/>
      <c r="H19" s="10"/>
    </row>
    <row r="20" spans="2:8" x14ac:dyDescent="0.25">
      <c r="F20" s="8"/>
      <c r="G20" s="9"/>
      <c r="H20" s="10"/>
    </row>
    <row r="21" spans="2:8" x14ac:dyDescent="0.25">
      <c r="F21" s="8"/>
      <c r="G21" s="9"/>
      <c r="H21" s="10"/>
    </row>
    <row r="22" spans="2:8" x14ac:dyDescent="0.25">
      <c r="B22" s="14" t="s">
        <v>33</v>
      </c>
      <c r="C22" t="s">
        <v>30</v>
      </c>
      <c r="F22" s="8"/>
      <c r="G22" s="9"/>
      <c r="H22" s="10"/>
    </row>
    <row r="23" spans="2:8" x14ac:dyDescent="0.25">
      <c r="B23" s="15" t="s">
        <v>13</v>
      </c>
      <c r="C23" s="29">
        <v>978768.70000000019</v>
      </c>
      <c r="F23" s="8"/>
      <c r="G23" s="9"/>
      <c r="H23" s="10"/>
    </row>
    <row r="24" spans="2:8" x14ac:dyDescent="0.25">
      <c r="B24" s="15" t="s">
        <v>11</v>
      </c>
      <c r="C24" s="29">
        <v>1090607.95</v>
      </c>
      <c r="F24" s="11"/>
      <c r="G24" s="12"/>
      <c r="H24" s="13"/>
    </row>
    <row r="25" spans="2:8" x14ac:dyDescent="0.25">
      <c r="B25" s="15" t="s">
        <v>10</v>
      </c>
      <c r="C25" s="29">
        <v>829227.74999999965</v>
      </c>
    </row>
    <row r="26" spans="2:8" x14ac:dyDescent="0.25">
      <c r="B26" s="15" t="s">
        <v>12</v>
      </c>
      <c r="C26" s="29">
        <v>1179475.7</v>
      </c>
    </row>
    <row r="27" spans="2:8" x14ac:dyDescent="0.25">
      <c r="B27" s="15" t="s">
        <v>34</v>
      </c>
      <c r="C27" s="29">
        <v>4078080.0999999996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3BD5-7B76-4A41-8920-6C2FF6690D74}">
  <dimension ref="A2:M25"/>
  <sheetViews>
    <sheetView topLeftCell="G7" workbookViewId="0">
      <selection activeCell="V16" sqref="V16"/>
    </sheetView>
  </sheetViews>
  <sheetFormatPr defaultRowHeight="13.8" x14ac:dyDescent="0.25"/>
  <cols>
    <col min="1" max="1" width="12" bestFit="1" customWidth="1"/>
    <col min="2" max="2" width="18.09765625" bestFit="1" customWidth="1"/>
    <col min="12" max="12" width="11.8984375" bestFit="1" customWidth="1"/>
    <col min="13" max="13" width="18.09765625" bestFit="1" customWidth="1"/>
  </cols>
  <sheetData>
    <row r="2" spans="1:13" x14ac:dyDescent="0.25">
      <c r="L2" s="14" t="s">
        <v>33</v>
      </c>
      <c r="M2" t="s">
        <v>30</v>
      </c>
    </row>
    <row r="3" spans="1:13" x14ac:dyDescent="0.25">
      <c r="A3" s="14" t="s">
        <v>33</v>
      </c>
      <c r="B3" t="s">
        <v>31</v>
      </c>
      <c r="L3" s="15" t="s">
        <v>24</v>
      </c>
      <c r="M3" s="29">
        <v>302439.5</v>
      </c>
    </row>
    <row r="4" spans="1:13" x14ac:dyDescent="0.25">
      <c r="A4" s="15" t="s">
        <v>10</v>
      </c>
      <c r="B4">
        <v>829227.75</v>
      </c>
      <c r="L4" s="15" t="s">
        <v>18</v>
      </c>
      <c r="M4" s="29">
        <v>345093.85</v>
      </c>
    </row>
    <row r="5" spans="1:13" x14ac:dyDescent="0.25">
      <c r="A5" s="15" t="s">
        <v>13</v>
      </c>
      <c r="B5">
        <v>978768.7</v>
      </c>
      <c r="L5" s="15" t="s">
        <v>21</v>
      </c>
      <c r="M5" s="29">
        <v>362857.84999999992</v>
      </c>
    </row>
    <row r="6" spans="1:13" x14ac:dyDescent="0.25">
      <c r="A6" s="15" t="s">
        <v>11</v>
      </c>
      <c r="B6">
        <v>1090607.95</v>
      </c>
      <c r="L6" s="15" t="s">
        <v>25</v>
      </c>
      <c r="M6" s="29">
        <v>367919.25</v>
      </c>
    </row>
    <row r="7" spans="1:13" x14ac:dyDescent="0.25">
      <c r="A7" s="15" t="s">
        <v>12</v>
      </c>
      <c r="B7">
        <v>1179475.7</v>
      </c>
      <c r="L7" s="15" t="s">
        <v>23</v>
      </c>
      <c r="M7" s="29">
        <v>389103.3</v>
      </c>
    </row>
    <row r="8" spans="1:13" x14ac:dyDescent="0.25">
      <c r="A8" s="15" t="s">
        <v>34</v>
      </c>
      <c r="B8">
        <v>4078080.1</v>
      </c>
      <c r="L8" s="15" t="s">
        <v>22</v>
      </c>
      <c r="M8" s="29">
        <v>390684.60000000003</v>
      </c>
    </row>
    <row r="9" spans="1:13" x14ac:dyDescent="0.25">
      <c r="L9" s="15" t="s">
        <v>26</v>
      </c>
      <c r="M9" s="29">
        <v>416272.10000000003</v>
      </c>
    </row>
    <row r="10" spans="1:13" x14ac:dyDescent="0.25">
      <c r="L10" s="15" t="s">
        <v>17</v>
      </c>
      <c r="M10" s="29">
        <v>478184.94999999995</v>
      </c>
    </row>
    <row r="11" spans="1:13" x14ac:dyDescent="0.25">
      <c r="L11" s="15" t="s">
        <v>20</v>
      </c>
      <c r="M11" s="29">
        <v>486713.25</v>
      </c>
    </row>
    <row r="12" spans="1:13" x14ac:dyDescent="0.25">
      <c r="L12" s="15" t="s">
        <v>19</v>
      </c>
      <c r="M12" s="29">
        <v>538811.44999999995</v>
      </c>
    </row>
    <row r="13" spans="1:13" x14ac:dyDescent="0.25">
      <c r="L13" s="15" t="s">
        <v>34</v>
      </c>
      <c r="M13" s="29">
        <v>4078080.1</v>
      </c>
    </row>
    <row r="18" spans="1:13" x14ac:dyDescent="0.25">
      <c r="L18" s="14" t="s">
        <v>33</v>
      </c>
      <c r="M18" t="s">
        <v>30</v>
      </c>
    </row>
    <row r="19" spans="1:13" x14ac:dyDescent="0.25">
      <c r="A19" s="14" t="s">
        <v>33</v>
      </c>
      <c r="B19" t="s">
        <v>30</v>
      </c>
      <c r="L19" s="15" t="s">
        <v>38</v>
      </c>
      <c r="M19" s="29">
        <v>721924.04999999981</v>
      </c>
    </row>
    <row r="20" spans="1:13" x14ac:dyDescent="0.25">
      <c r="A20" s="15" t="s">
        <v>15</v>
      </c>
      <c r="B20" s="29">
        <v>1431724.6999999997</v>
      </c>
      <c r="L20" s="15" t="s">
        <v>39</v>
      </c>
      <c r="M20" s="29">
        <v>584519.64999999991</v>
      </c>
    </row>
    <row r="21" spans="1:13" x14ac:dyDescent="0.25">
      <c r="A21" s="15" t="s">
        <v>16</v>
      </c>
      <c r="B21" s="29">
        <v>1388382.5500000003</v>
      </c>
      <c r="L21" s="15" t="s">
        <v>40</v>
      </c>
      <c r="M21" s="29">
        <v>666835.35</v>
      </c>
    </row>
    <row r="22" spans="1:13" x14ac:dyDescent="0.25">
      <c r="A22" s="15" t="s">
        <v>14</v>
      </c>
      <c r="B22" s="29">
        <v>1257972.8499999999</v>
      </c>
      <c r="L22" s="15" t="s">
        <v>41</v>
      </c>
      <c r="M22" s="29">
        <v>708655.85</v>
      </c>
    </row>
    <row r="23" spans="1:13" x14ac:dyDescent="0.25">
      <c r="A23" s="15" t="s">
        <v>34</v>
      </c>
      <c r="B23" s="29">
        <v>4078080.0999999996</v>
      </c>
      <c r="L23" s="15" t="s">
        <v>42</v>
      </c>
      <c r="M23" s="29">
        <v>723358</v>
      </c>
    </row>
    <row r="24" spans="1:13" x14ac:dyDescent="0.25">
      <c r="L24" s="15" t="s">
        <v>43</v>
      </c>
      <c r="M24" s="29">
        <v>672787.2</v>
      </c>
    </row>
    <row r="25" spans="1:13" x14ac:dyDescent="0.25">
      <c r="L25" s="15" t="s">
        <v>34</v>
      </c>
      <c r="M25" s="29">
        <v>4078080.0999999996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27C74-0911-4452-95BA-C8F76CB5959A}">
  <dimension ref="A1:R40"/>
  <sheetViews>
    <sheetView workbookViewId="0">
      <selection activeCell="R32" sqref="R32"/>
    </sheetView>
  </sheetViews>
  <sheetFormatPr defaultRowHeight="13.8" x14ac:dyDescent="0.25"/>
  <cols>
    <col min="9" max="9" width="8.59765625" customWidth="1"/>
  </cols>
  <sheetData>
    <row r="1" spans="1:18" ht="14.4" customHeight="1" x14ac:dyDescent="0.25">
      <c r="A1" s="23" t="s">
        <v>44</v>
      </c>
      <c r="B1" s="24"/>
      <c r="C1" s="24"/>
      <c r="D1" s="24"/>
      <c r="E1" s="24"/>
      <c r="F1" s="24"/>
      <c r="G1" s="24"/>
      <c r="H1" s="24"/>
      <c r="I1" s="24"/>
      <c r="J1" s="24"/>
      <c r="K1" s="24"/>
      <c r="L1" s="24"/>
      <c r="M1" s="24"/>
      <c r="N1" s="24"/>
      <c r="O1" s="24"/>
      <c r="P1" s="24"/>
      <c r="Q1" s="24"/>
      <c r="R1" s="25"/>
    </row>
    <row r="2" spans="1:18" ht="14.4" customHeight="1" x14ac:dyDescent="0.25">
      <c r="A2" s="26"/>
      <c r="B2" s="27"/>
      <c r="C2" s="27"/>
      <c r="D2" s="27"/>
      <c r="E2" s="27"/>
      <c r="F2" s="27"/>
      <c r="G2" s="27"/>
      <c r="H2" s="27"/>
      <c r="I2" s="27"/>
      <c r="J2" s="27"/>
      <c r="K2" s="27"/>
      <c r="L2" s="27"/>
      <c r="M2" s="27"/>
      <c r="N2" s="27"/>
      <c r="O2" s="27"/>
      <c r="P2" s="27"/>
      <c r="Q2" s="27"/>
      <c r="R2" s="28"/>
    </row>
    <row r="3" spans="1:18" ht="14.4" customHeight="1" x14ac:dyDescent="0.25">
      <c r="A3" s="26"/>
      <c r="B3" s="27"/>
      <c r="C3" s="27"/>
      <c r="D3" s="27"/>
      <c r="E3" s="27"/>
      <c r="F3" s="27"/>
      <c r="G3" s="27"/>
      <c r="H3" s="27"/>
      <c r="I3" s="27"/>
      <c r="J3" s="27"/>
      <c r="K3" s="27"/>
      <c r="L3" s="27"/>
      <c r="M3" s="27"/>
      <c r="N3" s="27"/>
      <c r="O3" s="27"/>
      <c r="P3" s="27"/>
      <c r="Q3" s="27"/>
      <c r="R3" s="28"/>
    </row>
    <row r="4" spans="1:18" x14ac:dyDescent="0.25">
      <c r="A4" s="17"/>
      <c r="B4" s="18"/>
      <c r="C4" s="18"/>
      <c r="D4" s="18"/>
      <c r="E4" s="18"/>
      <c r="F4" s="18"/>
      <c r="G4" s="18"/>
      <c r="H4" s="18"/>
      <c r="I4" s="18"/>
      <c r="J4" s="18"/>
      <c r="K4" s="18"/>
      <c r="L4" s="18"/>
      <c r="M4" s="18"/>
      <c r="N4" s="18"/>
      <c r="O4" s="18"/>
      <c r="P4" s="18"/>
      <c r="Q4" s="18"/>
      <c r="R4" s="19"/>
    </row>
    <row r="5" spans="1:18" x14ac:dyDescent="0.25">
      <c r="A5" s="17"/>
      <c r="B5" s="18"/>
      <c r="C5" s="18"/>
      <c r="D5" s="18"/>
      <c r="E5" s="18"/>
      <c r="F5" s="18"/>
      <c r="G5" s="18"/>
      <c r="H5" s="18"/>
      <c r="I5" s="18"/>
      <c r="J5" s="18"/>
      <c r="K5" s="18"/>
      <c r="L5" s="18"/>
      <c r="M5" s="18"/>
      <c r="N5" s="18"/>
      <c r="O5" s="18"/>
      <c r="P5" s="18"/>
      <c r="Q5" s="18"/>
      <c r="R5" s="19"/>
    </row>
    <row r="6" spans="1:18" x14ac:dyDescent="0.25">
      <c r="A6" s="17"/>
      <c r="B6" s="18"/>
      <c r="C6" s="18"/>
      <c r="D6" s="18"/>
      <c r="E6" s="18"/>
      <c r="F6" s="18"/>
      <c r="G6" s="18"/>
      <c r="H6" s="18"/>
      <c r="I6" s="18"/>
      <c r="J6" s="18"/>
      <c r="K6" s="18"/>
      <c r="L6" s="18"/>
      <c r="M6" s="18"/>
      <c r="N6" s="18"/>
      <c r="O6" s="18"/>
      <c r="P6" s="18"/>
      <c r="Q6" s="18"/>
      <c r="R6" s="19"/>
    </row>
    <row r="7" spans="1:18" x14ac:dyDescent="0.25">
      <c r="A7" s="17"/>
      <c r="B7" s="18"/>
      <c r="C7" s="18"/>
      <c r="D7" s="18"/>
      <c r="E7" s="18"/>
      <c r="F7" s="18"/>
      <c r="G7" s="18"/>
      <c r="H7" s="18"/>
      <c r="I7" s="18"/>
      <c r="J7" s="18"/>
      <c r="K7" s="18"/>
      <c r="L7" s="18"/>
      <c r="M7" s="18"/>
      <c r="N7" s="18"/>
      <c r="O7" s="18"/>
      <c r="P7" s="18"/>
      <c r="Q7" s="18"/>
      <c r="R7" s="19"/>
    </row>
    <row r="8" spans="1:18" x14ac:dyDescent="0.25">
      <c r="A8" s="17"/>
      <c r="B8" s="18"/>
      <c r="C8" s="18"/>
      <c r="D8" s="18"/>
      <c r="E8" s="18"/>
      <c r="F8" s="18"/>
      <c r="G8" s="18"/>
      <c r="H8" s="18"/>
      <c r="I8" s="18"/>
      <c r="J8" s="18"/>
      <c r="K8" s="18"/>
      <c r="L8" s="18"/>
      <c r="M8" s="18"/>
      <c r="N8" s="18"/>
      <c r="O8" s="18"/>
      <c r="P8" s="18"/>
      <c r="Q8" s="18"/>
      <c r="R8" s="19"/>
    </row>
    <row r="9" spans="1:18" x14ac:dyDescent="0.25">
      <c r="A9" s="17"/>
      <c r="B9" s="18"/>
      <c r="C9" s="18"/>
      <c r="D9" s="18"/>
      <c r="E9" s="18"/>
      <c r="F9" s="18"/>
      <c r="G9" s="18"/>
      <c r="H9" s="18"/>
      <c r="I9" s="18"/>
      <c r="J9" s="18"/>
      <c r="K9" s="18"/>
      <c r="L9" s="18"/>
      <c r="M9" s="18"/>
      <c r="N9" s="18"/>
      <c r="O9" s="18"/>
      <c r="P9" s="18"/>
      <c r="Q9" s="18"/>
      <c r="R9" s="19"/>
    </row>
    <row r="10" spans="1:18" x14ac:dyDescent="0.25">
      <c r="A10" s="17"/>
      <c r="B10" s="18"/>
      <c r="C10" s="18"/>
      <c r="D10" s="18"/>
      <c r="E10" s="18"/>
      <c r="F10" s="18"/>
      <c r="G10" s="18"/>
      <c r="H10" s="18"/>
      <c r="I10" s="18"/>
      <c r="J10" s="18"/>
      <c r="K10" s="18"/>
      <c r="L10" s="18"/>
      <c r="M10" s="18"/>
      <c r="N10" s="18"/>
      <c r="O10" s="18"/>
      <c r="P10" s="18"/>
      <c r="Q10" s="18"/>
      <c r="R10" s="19"/>
    </row>
    <row r="11" spans="1:18" x14ac:dyDescent="0.25">
      <c r="A11" s="17"/>
      <c r="B11" s="18"/>
      <c r="C11" s="18"/>
      <c r="D11" s="18"/>
      <c r="E11" s="18"/>
      <c r="F11" s="18"/>
      <c r="G11" s="18"/>
      <c r="H11" s="18"/>
      <c r="I11" s="18"/>
      <c r="J11" s="18"/>
      <c r="K11" s="18"/>
      <c r="L11" s="18"/>
      <c r="M11" s="18"/>
      <c r="N11" s="18"/>
      <c r="O11" s="18"/>
      <c r="P11" s="18"/>
      <c r="Q11" s="18"/>
      <c r="R11" s="19"/>
    </row>
    <row r="12" spans="1:18" x14ac:dyDescent="0.25">
      <c r="A12" s="17"/>
      <c r="B12" s="18"/>
      <c r="C12" s="18"/>
      <c r="D12" s="18"/>
      <c r="E12" s="18"/>
      <c r="F12" s="18"/>
      <c r="G12" s="18"/>
      <c r="H12" s="18"/>
      <c r="I12" s="18"/>
      <c r="J12" s="18"/>
      <c r="K12" s="18"/>
      <c r="L12" s="18"/>
      <c r="M12" s="18"/>
      <c r="N12" s="18"/>
      <c r="O12" s="18"/>
      <c r="P12" s="18"/>
      <c r="Q12" s="18"/>
      <c r="R12" s="19"/>
    </row>
    <row r="13" spans="1:18" x14ac:dyDescent="0.25">
      <c r="A13" s="17"/>
      <c r="B13" s="18"/>
      <c r="C13" s="18"/>
      <c r="D13" s="18"/>
      <c r="E13" s="18"/>
      <c r="F13" s="18"/>
      <c r="G13" s="18"/>
      <c r="H13" s="18"/>
      <c r="I13" s="18"/>
      <c r="J13" s="18"/>
      <c r="K13" s="18"/>
      <c r="L13" s="18"/>
      <c r="M13" s="18"/>
      <c r="N13" s="18"/>
      <c r="O13" s="18"/>
      <c r="P13" s="18"/>
      <c r="Q13" s="18"/>
      <c r="R13" s="19"/>
    </row>
    <row r="14" spans="1:18" x14ac:dyDescent="0.25">
      <c r="A14" s="17"/>
      <c r="B14" s="18"/>
      <c r="C14" s="18"/>
      <c r="D14" s="18"/>
      <c r="E14" s="18"/>
      <c r="F14" s="18"/>
      <c r="G14" s="18"/>
      <c r="H14" s="18"/>
      <c r="I14" s="18"/>
      <c r="J14" s="18"/>
      <c r="K14" s="18"/>
      <c r="L14" s="18"/>
      <c r="M14" s="18"/>
      <c r="N14" s="18"/>
      <c r="O14" s="18"/>
      <c r="P14" s="18"/>
      <c r="Q14" s="18"/>
      <c r="R14" s="19"/>
    </row>
    <row r="15" spans="1:18" x14ac:dyDescent="0.25">
      <c r="A15" s="17"/>
      <c r="B15" s="18"/>
      <c r="C15" s="18"/>
      <c r="D15" s="18"/>
      <c r="E15" s="18"/>
      <c r="F15" s="18"/>
      <c r="G15" s="18"/>
      <c r="H15" s="18"/>
      <c r="I15" s="18"/>
      <c r="J15" s="18"/>
      <c r="K15" s="18"/>
      <c r="L15" s="18"/>
      <c r="M15" s="18"/>
      <c r="N15" s="18"/>
      <c r="O15" s="18"/>
      <c r="P15" s="18"/>
      <c r="Q15" s="18"/>
      <c r="R15" s="19"/>
    </row>
    <row r="16" spans="1:18" x14ac:dyDescent="0.25">
      <c r="A16" s="17"/>
      <c r="B16" s="18"/>
      <c r="C16" s="18"/>
      <c r="D16" s="18"/>
      <c r="E16" s="18"/>
      <c r="F16" s="18"/>
      <c r="G16" s="18"/>
      <c r="H16" s="18"/>
      <c r="I16" s="18"/>
      <c r="J16" s="18"/>
      <c r="K16" s="18"/>
      <c r="L16" s="18"/>
      <c r="M16" s="18"/>
      <c r="N16" s="18"/>
      <c r="O16" s="18"/>
      <c r="P16" s="18"/>
      <c r="Q16" s="18"/>
      <c r="R16" s="19"/>
    </row>
    <row r="17" spans="1:18" x14ac:dyDescent="0.25">
      <c r="A17" s="17"/>
      <c r="B17" s="18"/>
      <c r="C17" s="18"/>
      <c r="D17" s="18"/>
      <c r="E17" s="18"/>
      <c r="F17" s="18"/>
      <c r="G17" s="18"/>
      <c r="H17" s="18"/>
      <c r="I17" s="18"/>
      <c r="J17" s="18"/>
      <c r="K17" s="18"/>
      <c r="L17" s="18"/>
      <c r="M17" s="18"/>
      <c r="N17" s="18"/>
      <c r="O17" s="18"/>
      <c r="P17" s="18"/>
      <c r="Q17" s="18"/>
      <c r="R17" s="19"/>
    </row>
    <row r="18" spans="1:18" x14ac:dyDescent="0.25">
      <c r="A18" s="17"/>
      <c r="B18" s="18"/>
      <c r="C18" s="18"/>
      <c r="D18" s="18"/>
      <c r="E18" s="18"/>
      <c r="F18" s="18"/>
      <c r="G18" s="18"/>
      <c r="H18" s="18"/>
      <c r="I18" s="18"/>
      <c r="J18" s="18"/>
      <c r="K18" s="18"/>
      <c r="L18" s="18"/>
      <c r="M18" s="18"/>
      <c r="N18" s="18"/>
      <c r="O18" s="18"/>
      <c r="P18" s="18"/>
      <c r="Q18" s="18"/>
      <c r="R18" s="19"/>
    </row>
    <row r="19" spans="1:18" x14ac:dyDescent="0.25">
      <c r="A19" s="17"/>
      <c r="B19" s="18"/>
      <c r="C19" s="18"/>
      <c r="D19" s="18"/>
      <c r="E19" s="18"/>
      <c r="F19" s="18"/>
      <c r="G19" s="18"/>
      <c r="H19" s="18"/>
      <c r="I19" s="18"/>
      <c r="J19" s="18"/>
      <c r="K19" s="18"/>
      <c r="L19" s="18"/>
      <c r="M19" s="18"/>
      <c r="N19" s="18"/>
      <c r="O19" s="18"/>
      <c r="P19" s="18"/>
      <c r="Q19" s="18"/>
      <c r="R19" s="19"/>
    </row>
    <row r="20" spans="1:18" x14ac:dyDescent="0.25">
      <c r="A20" s="17"/>
      <c r="B20" s="18"/>
      <c r="C20" s="18"/>
      <c r="D20" s="18"/>
      <c r="E20" s="18"/>
      <c r="F20" s="18"/>
      <c r="G20" s="18"/>
      <c r="H20" s="18"/>
      <c r="I20" s="18"/>
      <c r="J20" s="18"/>
      <c r="K20" s="18"/>
      <c r="L20" s="18"/>
      <c r="M20" s="18"/>
      <c r="N20" s="18"/>
      <c r="O20" s="18"/>
      <c r="P20" s="18"/>
      <c r="Q20" s="18"/>
      <c r="R20" s="19"/>
    </row>
    <row r="21" spans="1:18" x14ac:dyDescent="0.25">
      <c r="A21" s="17"/>
      <c r="B21" s="18"/>
      <c r="C21" s="18"/>
      <c r="D21" s="18"/>
      <c r="E21" s="18"/>
      <c r="F21" s="18"/>
      <c r="G21" s="18"/>
      <c r="H21" s="18"/>
      <c r="I21" s="18"/>
      <c r="J21" s="18"/>
      <c r="K21" s="18"/>
      <c r="L21" s="18"/>
      <c r="M21" s="18"/>
      <c r="N21" s="18"/>
      <c r="O21" s="18"/>
      <c r="P21" s="18"/>
      <c r="Q21" s="18"/>
      <c r="R21" s="19"/>
    </row>
    <row r="22" spans="1:18" x14ac:dyDescent="0.25">
      <c r="A22" s="17"/>
      <c r="B22" s="18"/>
      <c r="C22" s="18"/>
      <c r="D22" s="18"/>
      <c r="E22" s="18"/>
      <c r="F22" s="18"/>
      <c r="G22" s="18"/>
      <c r="H22" s="18"/>
      <c r="I22" s="18"/>
      <c r="J22" s="18"/>
      <c r="K22" s="18"/>
      <c r="L22" s="18"/>
      <c r="M22" s="18"/>
      <c r="N22" s="18"/>
      <c r="O22" s="18"/>
      <c r="P22" s="18"/>
      <c r="Q22" s="18"/>
      <c r="R22" s="19"/>
    </row>
    <row r="23" spans="1:18" x14ac:dyDescent="0.25">
      <c r="A23" s="17"/>
      <c r="B23" s="18"/>
      <c r="C23" s="18"/>
      <c r="D23" s="18"/>
      <c r="E23" s="18"/>
      <c r="F23" s="18"/>
      <c r="G23" s="18"/>
      <c r="H23" s="18"/>
      <c r="I23" s="18"/>
      <c r="J23" s="18"/>
      <c r="K23" s="18"/>
      <c r="L23" s="18"/>
      <c r="M23" s="18"/>
      <c r="N23" s="18"/>
      <c r="O23" s="18"/>
      <c r="P23" s="18"/>
      <c r="Q23" s="18"/>
      <c r="R23" s="19"/>
    </row>
    <row r="24" spans="1:18" x14ac:dyDescent="0.25">
      <c r="A24" s="17"/>
      <c r="B24" s="18"/>
      <c r="C24" s="18"/>
      <c r="D24" s="18"/>
      <c r="E24" s="18"/>
      <c r="F24" s="18"/>
      <c r="G24" s="18"/>
      <c r="H24" s="18"/>
      <c r="I24" s="18"/>
      <c r="J24" s="18"/>
      <c r="K24" s="18"/>
      <c r="L24" s="18"/>
      <c r="M24" s="18"/>
      <c r="N24" s="18"/>
      <c r="O24" s="18"/>
      <c r="P24" s="18"/>
      <c r="Q24" s="18"/>
      <c r="R24" s="19"/>
    </row>
    <row r="25" spans="1:18" x14ac:dyDescent="0.25">
      <c r="A25" s="17"/>
      <c r="B25" s="18"/>
      <c r="C25" s="18"/>
      <c r="D25" s="18"/>
      <c r="E25" s="18"/>
      <c r="F25" s="18"/>
      <c r="G25" s="18"/>
      <c r="H25" s="18"/>
      <c r="I25" s="18"/>
      <c r="J25" s="18"/>
      <c r="K25" s="18"/>
      <c r="L25" s="18"/>
      <c r="M25" s="18"/>
      <c r="N25" s="18"/>
      <c r="O25" s="18"/>
      <c r="P25" s="18"/>
      <c r="Q25" s="18"/>
      <c r="R25" s="19"/>
    </row>
    <row r="26" spans="1:18" x14ac:dyDescent="0.25">
      <c r="A26" s="17"/>
      <c r="B26" s="18"/>
      <c r="C26" s="18"/>
      <c r="D26" s="18"/>
      <c r="E26" s="18"/>
      <c r="F26" s="18"/>
      <c r="G26" s="18"/>
      <c r="H26" s="18"/>
      <c r="I26" s="18"/>
      <c r="J26" s="18"/>
      <c r="K26" s="18"/>
      <c r="L26" s="18"/>
      <c r="M26" s="18"/>
      <c r="N26" s="18"/>
      <c r="O26" s="18"/>
      <c r="P26" s="18"/>
      <c r="Q26" s="18"/>
      <c r="R26" s="19"/>
    </row>
    <row r="27" spans="1:18" x14ac:dyDescent="0.25">
      <c r="A27" s="17"/>
      <c r="B27" s="18"/>
      <c r="C27" s="18"/>
      <c r="D27" s="18"/>
      <c r="E27" s="18"/>
      <c r="F27" s="18"/>
      <c r="G27" s="18"/>
      <c r="H27" s="18"/>
      <c r="I27" s="18"/>
      <c r="J27" s="18"/>
      <c r="K27" s="18"/>
      <c r="L27" s="18"/>
      <c r="M27" s="18"/>
      <c r="N27" s="18"/>
      <c r="O27" s="18"/>
      <c r="P27" s="18"/>
      <c r="Q27" s="18"/>
      <c r="R27" s="19"/>
    </row>
    <row r="28" spans="1:18" x14ac:dyDescent="0.25">
      <c r="A28" s="17"/>
      <c r="B28" s="18"/>
      <c r="C28" s="18"/>
      <c r="D28" s="18"/>
      <c r="E28" s="18"/>
      <c r="F28" s="18"/>
      <c r="G28" s="18"/>
      <c r="H28" s="18"/>
      <c r="I28" s="18"/>
      <c r="J28" s="18"/>
      <c r="K28" s="18"/>
      <c r="L28" s="18"/>
      <c r="M28" s="18"/>
      <c r="N28" s="18"/>
      <c r="O28" s="18"/>
      <c r="P28" s="18"/>
      <c r="Q28" s="18"/>
      <c r="R28" s="19"/>
    </row>
    <row r="29" spans="1:18" x14ac:dyDescent="0.25">
      <c r="A29" s="17"/>
      <c r="B29" s="18"/>
      <c r="C29" s="18"/>
      <c r="D29" s="18"/>
      <c r="E29" s="18"/>
      <c r="F29" s="18"/>
      <c r="G29" s="18"/>
      <c r="H29" s="18"/>
      <c r="I29" s="18"/>
      <c r="J29" s="18"/>
      <c r="K29" s="18"/>
      <c r="L29" s="18"/>
      <c r="M29" s="18"/>
      <c r="N29" s="18"/>
      <c r="O29" s="18"/>
      <c r="P29" s="18"/>
      <c r="Q29" s="18"/>
      <c r="R29" s="19"/>
    </row>
    <row r="30" spans="1:18" x14ac:dyDescent="0.25">
      <c r="A30" s="17"/>
      <c r="B30" s="18"/>
      <c r="C30" s="18"/>
      <c r="D30" s="18"/>
      <c r="E30" s="18"/>
      <c r="F30" s="18"/>
      <c r="G30" s="18"/>
      <c r="H30" s="18"/>
      <c r="I30" s="18"/>
      <c r="J30" s="18"/>
      <c r="K30" s="18"/>
      <c r="L30" s="18"/>
      <c r="M30" s="18"/>
      <c r="N30" s="18"/>
      <c r="O30" s="18"/>
      <c r="P30" s="18"/>
      <c r="Q30" s="18"/>
      <c r="R30" s="19"/>
    </row>
    <row r="31" spans="1:18" x14ac:dyDescent="0.25">
      <c r="A31" s="17"/>
      <c r="B31" s="18"/>
      <c r="C31" s="18"/>
      <c r="D31" s="18"/>
      <c r="E31" s="18"/>
      <c r="F31" s="18"/>
      <c r="G31" s="18"/>
      <c r="H31" s="18"/>
      <c r="I31" s="18"/>
      <c r="J31" s="18"/>
      <c r="K31" s="18"/>
      <c r="L31" s="18"/>
      <c r="M31" s="18"/>
      <c r="N31" s="18"/>
      <c r="O31" s="18"/>
      <c r="P31" s="18"/>
      <c r="Q31" s="18"/>
      <c r="R31" s="19"/>
    </row>
    <row r="32" spans="1:18" x14ac:dyDescent="0.25">
      <c r="A32" s="17"/>
      <c r="B32" s="18"/>
      <c r="C32" s="18"/>
      <c r="D32" s="18"/>
      <c r="E32" s="18"/>
      <c r="F32" s="18"/>
      <c r="G32" s="18"/>
      <c r="H32" s="18"/>
      <c r="I32" s="18"/>
      <c r="J32" s="18"/>
      <c r="K32" s="18"/>
      <c r="L32" s="18"/>
      <c r="M32" s="18"/>
      <c r="N32" s="18"/>
      <c r="O32" s="18"/>
      <c r="P32" s="18"/>
      <c r="Q32" s="18"/>
      <c r="R32" s="19"/>
    </row>
    <row r="33" spans="1:18" x14ac:dyDescent="0.25">
      <c r="A33" s="17"/>
      <c r="B33" s="18"/>
      <c r="C33" s="18"/>
      <c r="D33" s="18"/>
      <c r="E33" s="18"/>
      <c r="F33" s="18"/>
      <c r="G33" s="18"/>
      <c r="H33" s="18"/>
      <c r="I33" s="18"/>
      <c r="J33" s="18"/>
      <c r="K33" s="18"/>
      <c r="L33" s="18"/>
      <c r="M33" s="18"/>
      <c r="N33" s="18"/>
      <c r="O33" s="18"/>
      <c r="P33" s="18"/>
      <c r="Q33" s="18"/>
      <c r="R33" s="19"/>
    </row>
    <row r="34" spans="1:18" x14ac:dyDescent="0.25">
      <c r="A34" s="17"/>
      <c r="B34" s="18"/>
      <c r="C34" s="18"/>
      <c r="D34" s="18"/>
      <c r="E34" s="18"/>
      <c r="F34" s="18"/>
      <c r="G34" s="18"/>
      <c r="H34" s="18"/>
      <c r="I34" s="18"/>
      <c r="J34" s="18"/>
      <c r="K34" s="18"/>
      <c r="L34" s="18"/>
      <c r="M34" s="18"/>
      <c r="N34" s="18"/>
      <c r="O34" s="18"/>
      <c r="P34" s="18"/>
      <c r="Q34" s="18"/>
      <c r="R34" s="19"/>
    </row>
    <row r="35" spans="1:18" x14ac:dyDescent="0.25">
      <c r="A35" s="17"/>
      <c r="B35" s="18"/>
      <c r="C35" s="18"/>
      <c r="D35" s="18"/>
      <c r="E35" s="18"/>
      <c r="F35" s="18"/>
      <c r="G35" s="18"/>
      <c r="H35" s="18"/>
      <c r="I35" s="18"/>
      <c r="J35" s="18"/>
      <c r="K35" s="18"/>
      <c r="L35" s="18"/>
      <c r="M35" s="18"/>
      <c r="N35" s="18"/>
      <c r="O35" s="18"/>
      <c r="P35" s="18"/>
      <c r="Q35" s="18"/>
      <c r="R35" s="19"/>
    </row>
    <row r="36" spans="1:18" x14ac:dyDescent="0.25">
      <c r="A36" s="17"/>
      <c r="B36" s="18"/>
      <c r="C36" s="18"/>
      <c r="D36" s="18"/>
      <c r="E36" s="18"/>
      <c r="F36" s="18"/>
      <c r="G36" s="18"/>
      <c r="H36" s="18"/>
      <c r="I36" s="18"/>
      <c r="J36" s="18"/>
      <c r="K36" s="18"/>
      <c r="L36" s="18"/>
      <c r="M36" s="18"/>
      <c r="N36" s="18"/>
      <c r="O36" s="18"/>
      <c r="P36" s="18"/>
      <c r="Q36" s="18"/>
      <c r="R36" s="19"/>
    </row>
    <row r="37" spans="1:18" x14ac:dyDescent="0.25">
      <c r="A37" s="17"/>
      <c r="B37" s="18"/>
      <c r="C37" s="18"/>
      <c r="D37" s="18"/>
      <c r="E37" s="18"/>
      <c r="F37" s="18"/>
      <c r="G37" s="18"/>
      <c r="H37" s="18"/>
      <c r="I37" s="18"/>
      <c r="J37" s="18"/>
      <c r="K37" s="18"/>
      <c r="L37" s="18"/>
      <c r="M37" s="18"/>
      <c r="N37" s="18"/>
      <c r="O37" s="18"/>
      <c r="P37" s="18"/>
      <c r="Q37" s="18"/>
      <c r="R37" s="19"/>
    </row>
    <row r="38" spans="1:18" x14ac:dyDescent="0.25">
      <c r="A38" s="17"/>
      <c r="B38" s="18"/>
      <c r="C38" s="18"/>
      <c r="D38" s="18"/>
      <c r="E38" s="18"/>
      <c r="F38" s="18"/>
      <c r="G38" s="18"/>
      <c r="H38" s="18"/>
      <c r="I38" s="18"/>
      <c r="J38" s="18"/>
      <c r="K38" s="18"/>
      <c r="L38" s="18"/>
      <c r="M38" s="18"/>
      <c r="N38" s="18"/>
      <c r="O38" s="18"/>
      <c r="P38" s="18"/>
      <c r="Q38" s="18"/>
      <c r="R38" s="19"/>
    </row>
    <row r="39" spans="1:18" x14ac:dyDescent="0.25">
      <c r="A39" s="17"/>
      <c r="B39" s="18"/>
      <c r="C39" s="18"/>
      <c r="D39" s="18"/>
      <c r="E39" s="18"/>
      <c r="F39" s="18"/>
      <c r="G39" s="18"/>
      <c r="H39" s="18"/>
      <c r="I39" s="18"/>
      <c r="J39" s="18"/>
      <c r="K39" s="18"/>
      <c r="L39" s="18"/>
      <c r="M39" s="18"/>
      <c r="N39" s="18"/>
      <c r="O39" s="18"/>
      <c r="P39" s="18"/>
      <c r="Q39" s="18"/>
      <c r="R39" s="19"/>
    </row>
    <row r="40" spans="1:18" ht="14.4" thickBot="1" x14ac:dyDescent="0.3">
      <c r="A40" s="20"/>
      <c r="B40" s="21"/>
      <c r="C40" s="21"/>
      <c r="D40" s="21"/>
      <c r="E40" s="21"/>
      <c r="F40" s="21"/>
      <c r="G40" s="21"/>
      <c r="H40" s="21"/>
      <c r="I40" s="21"/>
      <c r="J40" s="21"/>
      <c r="K40" s="21"/>
      <c r="L40" s="21"/>
      <c r="M40" s="21"/>
      <c r="N40" s="21"/>
      <c r="O40" s="21"/>
      <c r="P40" s="21"/>
      <c r="Q40" s="21"/>
      <c r="R40" s="22"/>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Kpi Summary</vt:lpstr>
      <vt:lpstr>KPi Cards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MAMATHA</dc:creator>
  <cp:lastModifiedBy>mamatha s</cp:lastModifiedBy>
  <dcterms:created xsi:type="dcterms:W3CDTF">2026-01-26T21:51:42Z</dcterms:created>
  <dcterms:modified xsi:type="dcterms:W3CDTF">2026-02-22T07:18:02Z</dcterms:modified>
</cp:coreProperties>
</file>